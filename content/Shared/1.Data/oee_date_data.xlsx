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Workshop\"/>
    </mc:Choice>
  </mc:AlternateContent>
  <xr:revisionPtr revIDLastSave="0" documentId="13_ncr:1_{3589C4DD-547D-4244-A5AA-A24CF7B7768C}" xr6:coauthVersionLast="47" xr6:coauthVersionMax="47" xr10:uidLastSave="{00000000-0000-0000-0000-000000000000}"/>
  <bookViews>
    <workbookView xWindow="-98" yWindow="-98" windowWidth="21795" windowHeight="14235" xr2:uid="{0873C98B-ECC7-4222-A698-0C13B0595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" i="1" l="1"/>
  <c r="F64" i="1" s="1"/>
  <c r="D64" i="1"/>
  <c r="E63" i="1"/>
  <c r="F63" i="1" s="1"/>
  <c r="K63" i="1" s="1"/>
  <c r="D63" i="1"/>
  <c r="E62" i="1"/>
  <c r="J62" i="1" s="1"/>
  <c r="D62" i="1"/>
  <c r="E61" i="1"/>
  <c r="F61" i="1" s="1"/>
  <c r="K61" i="1" s="1"/>
  <c r="D61" i="1"/>
  <c r="E60" i="1"/>
  <c r="F60" i="1" s="1"/>
  <c r="K60" i="1" s="1"/>
  <c r="D60" i="1"/>
  <c r="E59" i="1"/>
  <c r="J59" i="1" s="1"/>
  <c r="D59" i="1"/>
  <c r="E58" i="1"/>
  <c r="F58" i="1" s="1"/>
  <c r="D58" i="1"/>
  <c r="E57" i="1"/>
  <c r="F57" i="1" s="1"/>
  <c r="K57" i="1" s="1"/>
  <c r="D57" i="1"/>
  <c r="E56" i="1"/>
  <c r="J56" i="1" s="1"/>
  <c r="D56" i="1"/>
  <c r="E55" i="1"/>
  <c r="F55" i="1" s="1"/>
  <c r="K55" i="1" s="1"/>
  <c r="D55" i="1"/>
  <c r="E54" i="1"/>
  <c r="F54" i="1" s="1"/>
  <c r="K54" i="1" s="1"/>
  <c r="D54" i="1"/>
  <c r="E53" i="1"/>
  <c r="J53" i="1" s="1"/>
  <c r="D53" i="1"/>
  <c r="E52" i="1"/>
  <c r="J52" i="1" s="1"/>
  <c r="D52" i="1"/>
  <c r="E51" i="1"/>
  <c r="J51" i="1" s="1"/>
  <c r="D51" i="1"/>
  <c r="D50" i="1"/>
  <c r="E49" i="1"/>
  <c r="F49" i="1" s="1"/>
  <c r="D49" i="1"/>
  <c r="E48" i="1"/>
  <c r="F48" i="1" s="1"/>
  <c r="K48" i="1" s="1"/>
  <c r="D48" i="1"/>
  <c r="E47" i="1"/>
  <c r="J47" i="1" s="1"/>
  <c r="D47" i="1"/>
  <c r="E46" i="1"/>
  <c r="F46" i="1" s="1"/>
  <c r="K46" i="1" s="1"/>
  <c r="D46" i="1"/>
  <c r="E45" i="1"/>
  <c r="F45" i="1" s="1"/>
  <c r="K45" i="1" s="1"/>
  <c r="D45" i="1"/>
  <c r="E44" i="1"/>
  <c r="J44" i="1" s="1"/>
  <c r="D44" i="1"/>
  <c r="E43" i="1"/>
  <c r="F43" i="1" s="1"/>
  <c r="K43" i="1" s="1"/>
  <c r="D43" i="1"/>
  <c r="E42" i="1"/>
  <c r="J42" i="1" s="1"/>
  <c r="D42" i="1"/>
  <c r="E41" i="1"/>
  <c r="J41" i="1" s="1"/>
  <c r="D41" i="1"/>
  <c r="E40" i="1"/>
  <c r="J40" i="1" s="1"/>
  <c r="D40" i="1"/>
  <c r="E39" i="1"/>
  <c r="F39" i="1" s="1"/>
  <c r="K39" i="1" s="1"/>
  <c r="D39" i="1"/>
  <c r="D38" i="1"/>
  <c r="E37" i="1"/>
  <c r="F37" i="1" s="1"/>
  <c r="D37" i="1"/>
  <c r="E36" i="1"/>
  <c r="F36" i="1" s="1"/>
  <c r="K36" i="1" s="1"/>
  <c r="D36" i="1"/>
  <c r="E35" i="1"/>
  <c r="J35" i="1" s="1"/>
  <c r="D35" i="1"/>
  <c r="E34" i="1"/>
  <c r="F34" i="1" s="1"/>
  <c r="K34" i="1" s="1"/>
  <c r="D34" i="1"/>
  <c r="E33" i="1"/>
  <c r="F33" i="1" s="1"/>
  <c r="K33" i="1" s="1"/>
  <c r="D33" i="1"/>
  <c r="E32" i="1"/>
  <c r="F32" i="1" s="1"/>
  <c r="D32" i="1"/>
  <c r="E31" i="1"/>
  <c r="F31" i="1" s="1"/>
  <c r="K31" i="1" s="1"/>
  <c r="D31" i="1"/>
  <c r="E30" i="1"/>
  <c r="J30" i="1" s="1"/>
  <c r="D30" i="1"/>
  <c r="E29" i="1"/>
  <c r="J29" i="1" s="1"/>
  <c r="D29" i="1"/>
  <c r="E28" i="1"/>
  <c r="F28" i="1" s="1"/>
  <c r="K28" i="1" s="1"/>
  <c r="D28" i="1"/>
  <c r="E27" i="1"/>
  <c r="J27" i="1" s="1"/>
  <c r="D27" i="1"/>
  <c r="E26" i="1"/>
  <c r="J26" i="1" s="1"/>
  <c r="D26" i="1"/>
  <c r="E25" i="1"/>
  <c r="F25" i="1" s="1"/>
  <c r="D25" i="1"/>
  <c r="E24" i="1"/>
  <c r="F24" i="1" s="1"/>
  <c r="K24" i="1" s="1"/>
  <c r="D24" i="1"/>
  <c r="E23" i="1"/>
  <c r="J23" i="1" s="1"/>
  <c r="D23" i="1"/>
  <c r="E22" i="1"/>
  <c r="F22" i="1" s="1"/>
  <c r="K22" i="1" s="1"/>
  <c r="D22" i="1"/>
  <c r="E21" i="1"/>
  <c r="F21" i="1" s="1"/>
  <c r="K21" i="1" s="1"/>
  <c r="D21" i="1"/>
  <c r="E20" i="1"/>
  <c r="J20" i="1" s="1"/>
  <c r="D20" i="1"/>
  <c r="E19" i="1"/>
  <c r="F19" i="1" s="1"/>
  <c r="D19" i="1"/>
  <c r="E18" i="1"/>
  <c r="J18" i="1" s="1"/>
  <c r="D18" i="1"/>
  <c r="E17" i="1"/>
  <c r="J17" i="1" s="1"/>
  <c r="D17" i="1"/>
  <c r="E16" i="1"/>
  <c r="F16" i="1" s="1"/>
  <c r="D16" i="1"/>
  <c r="E15" i="1"/>
  <c r="F15" i="1" s="1"/>
  <c r="K15" i="1" s="1"/>
  <c r="D15" i="1"/>
  <c r="E14" i="1"/>
  <c r="J14" i="1" s="1"/>
  <c r="D14" i="1"/>
  <c r="E13" i="1"/>
  <c r="F13" i="1" s="1"/>
  <c r="D13" i="1"/>
  <c r="E12" i="1"/>
  <c r="J12" i="1" s="1"/>
  <c r="D12" i="1"/>
  <c r="E11" i="1"/>
  <c r="J11" i="1" s="1"/>
  <c r="D11" i="1"/>
  <c r="E10" i="1"/>
  <c r="F10" i="1" s="1"/>
  <c r="D10" i="1"/>
  <c r="E9" i="1"/>
  <c r="F9" i="1" s="1"/>
  <c r="K9" i="1" s="1"/>
  <c r="D9" i="1"/>
  <c r="E8" i="1"/>
  <c r="J8" i="1" s="1"/>
  <c r="D8" i="1"/>
  <c r="D7" i="1"/>
  <c r="D6" i="1"/>
  <c r="D5" i="1"/>
  <c r="E5" i="1" s="1"/>
  <c r="J5" i="1" s="1"/>
  <c r="D4" i="1"/>
  <c r="E4" i="1" s="1"/>
  <c r="D3" i="1"/>
  <c r="E3" i="1" s="1"/>
  <c r="D2" i="1"/>
  <c r="E2" i="1" s="1"/>
  <c r="J63" i="1" l="1"/>
  <c r="F51" i="1"/>
  <c r="K51" i="1" s="1"/>
  <c r="F62" i="1"/>
  <c r="K62" i="1" s="1"/>
  <c r="J61" i="1"/>
  <c r="J64" i="1"/>
  <c r="K64" i="1"/>
  <c r="G64" i="1"/>
  <c r="H64" i="1" s="1"/>
  <c r="G60" i="1"/>
  <c r="G63" i="1"/>
  <c r="H63" i="1" s="1"/>
  <c r="F59" i="1"/>
  <c r="J58" i="1"/>
  <c r="J60" i="1"/>
  <c r="J57" i="1"/>
  <c r="G61" i="1"/>
  <c r="H61" i="1" s="1"/>
  <c r="F56" i="1"/>
  <c r="K58" i="1"/>
  <c r="G58" i="1"/>
  <c r="H58" i="1" s="1"/>
  <c r="G54" i="1"/>
  <c r="G57" i="1"/>
  <c r="H57" i="1" s="1"/>
  <c r="F53" i="1"/>
  <c r="J55" i="1"/>
  <c r="J54" i="1"/>
  <c r="G55" i="1"/>
  <c r="H55" i="1" s="1"/>
  <c r="F52" i="1"/>
  <c r="K52" i="1" s="1"/>
  <c r="J48" i="1"/>
  <c r="J49" i="1"/>
  <c r="F42" i="1"/>
  <c r="K42" i="1" s="1"/>
  <c r="F44" i="1"/>
  <c r="K44" i="1" s="1"/>
  <c r="F47" i="1"/>
  <c r="E50" i="1"/>
  <c r="F50" i="1" s="1"/>
  <c r="K49" i="1"/>
  <c r="G49" i="1"/>
  <c r="H49" i="1" s="1"/>
  <c r="G45" i="1"/>
  <c r="G48" i="1"/>
  <c r="H48" i="1" s="1"/>
  <c r="J46" i="1"/>
  <c r="J45" i="1"/>
  <c r="J43" i="1"/>
  <c r="G46" i="1"/>
  <c r="H46" i="1" s="1"/>
  <c r="F41" i="1"/>
  <c r="J39" i="1"/>
  <c r="J36" i="1"/>
  <c r="F35" i="1"/>
  <c r="K35" i="1" s="1"/>
  <c r="G43" i="1"/>
  <c r="H43" i="1" s="1"/>
  <c r="F30" i="1"/>
  <c r="K30" i="1" s="1"/>
  <c r="G39" i="1"/>
  <c r="H39" i="1" s="1"/>
  <c r="F40" i="1"/>
  <c r="J37" i="1"/>
  <c r="E38" i="1"/>
  <c r="J38" i="1" s="1"/>
  <c r="K32" i="1"/>
  <c r="G32" i="1"/>
  <c r="K37" i="1"/>
  <c r="G37" i="1"/>
  <c r="H37" i="1" s="1"/>
  <c r="G33" i="1"/>
  <c r="G36" i="1"/>
  <c r="H36" i="1" s="1"/>
  <c r="J34" i="1"/>
  <c r="F29" i="1"/>
  <c r="K29" i="1" s="1"/>
  <c r="J19" i="1"/>
  <c r="J32" i="1"/>
  <c r="J33" i="1"/>
  <c r="J31" i="1"/>
  <c r="G34" i="1"/>
  <c r="H34" i="1" s="1"/>
  <c r="F27" i="1"/>
  <c r="J28" i="1"/>
  <c r="G31" i="1"/>
  <c r="H31" i="1" s="1"/>
  <c r="F23" i="1"/>
  <c r="F26" i="1"/>
  <c r="J24" i="1"/>
  <c r="J25" i="1"/>
  <c r="J22" i="1"/>
  <c r="G28" i="1"/>
  <c r="H28" i="1" s="1"/>
  <c r="K25" i="1"/>
  <c r="G25" i="1"/>
  <c r="H25" i="1" s="1"/>
  <c r="G24" i="1"/>
  <c r="H24" i="1" s="1"/>
  <c r="F17" i="1"/>
  <c r="F20" i="1"/>
  <c r="J15" i="1"/>
  <c r="J21" i="1"/>
  <c r="F18" i="1"/>
  <c r="K18" i="1" s="1"/>
  <c r="G22" i="1"/>
  <c r="H22" i="1" s="1"/>
  <c r="J13" i="1"/>
  <c r="G21" i="1"/>
  <c r="H21" i="1" s="1"/>
  <c r="F8" i="1"/>
  <c r="K8" i="1" s="1"/>
  <c r="J10" i="1"/>
  <c r="K19" i="1"/>
  <c r="G19" i="1"/>
  <c r="H19" i="1" s="1"/>
  <c r="J16" i="1"/>
  <c r="F11" i="1"/>
  <c r="F14" i="1"/>
  <c r="J9" i="1"/>
  <c r="K16" i="1"/>
  <c r="G16" i="1"/>
  <c r="H16" i="1" s="1"/>
  <c r="G15" i="1"/>
  <c r="H15" i="1" s="1"/>
  <c r="F12" i="1"/>
  <c r="K12" i="1" s="1"/>
  <c r="K13" i="1"/>
  <c r="G13" i="1"/>
  <c r="H13" i="1" s="1"/>
  <c r="K10" i="1"/>
  <c r="G10" i="1"/>
  <c r="H10" i="1" s="1"/>
  <c r="G9" i="1"/>
  <c r="H9" i="1" s="1"/>
  <c r="E6" i="1"/>
  <c r="J6" i="1" s="1"/>
  <c r="F5" i="1"/>
  <c r="E7" i="1"/>
  <c r="F7" i="1" s="1"/>
  <c r="G7" i="1" s="1"/>
  <c r="H7" i="1" s="1"/>
  <c r="J3" i="1"/>
  <c r="F4" i="1"/>
  <c r="G4" i="1" s="1"/>
  <c r="H4" i="1" s="1"/>
  <c r="J2" i="1"/>
  <c r="F2" i="1"/>
  <c r="G2" i="1" s="1"/>
  <c r="H2" i="1" s="1"/>
  <c r="F3" i="1"/>
  <c r="G3" i="1" s="1"/>
  <c r="H3" i="1" s="1"/>
  <c r="J4" i="1"/>
  <c r="H60" i="1" l="1"/>
  <c r="L60" i="1" s="1"/>
  <c r="I60" i="1" s="1"/>
  <c r="H54" i="1"/>
  <c r="L54" i="1" s="1"/>
  <c r="I54" i="1" s="1"/>
  <c r="H33" i="1"/>
  <c r="L33" i="1" s="1"/>
  <c r="I33" i="1" s="1"/>
  <c r="G51" i="1"/>
  <c r="H51" i="1" s="1"/>
  <c r="H45" i="1"/>
  <c r="L45" i="1" s="1"/>
  <c r="I45" i="1" s="1"/>
  <c r="H32" i="1"/>
  <c r="L32" i="1" s="1"/>
  <c r="I32" i="1" s="1"/>
  <c r="G44" i="1"/>
  <c r="G62" i="1"/>
  <c r="K59" i="1"/>
  <c r="G59" i="1"/>
  <c r="H59" i="1" s="1"/>
  <c r="L64" i="1"/>
  <c r="I64" i="1" s="1"/>
  <c r="L63" i="1"/>
  <c r="I63" i="1" s="1"/>
  <c r="K56" i="1"/>
  <c r="G56" i="1"/>
  <c r="L61" i="1"/>
  <c r="I61" i="1" s="1"/>
  <c r="G52" i="1"/>
  <c r="L58" i="1"/>
  <c r="I58" i="1" s="1"/>
  <c r="K53" i="1"/>
  <c r="G53" i="1"/>
  <c r="H53" i="1" s="1"/>
  <c r="L57" i="1"/>
  <c r="I57" i="1" s="1"/>
  <c r="L55" i="1"/>
  <c r="I55" i="1" s="1"/>
  <c r="J50" i="1"/>
  <c r="K50" i="1"/>
  <c r="G50" i="1"/>
  <c r="H50" i="1" s="1"/>
  <c r="G42" i="1"/>
  <c r="K47" i="1"/>
  <c r="G47" i="1"/>
  <c r="L49" i="1"/>
  <c r="I49" i="1" s="1"/>
  <c r="L48" i="1"/>
  <c r="I48" i="1" s="1"/>
  <c r="L46" i="1"/>
  <c r="I46" i="1" s="1"/>
  <c r="K41" i="1"/>
  <c r="G41" i="1"/>
  <c r="H41" i="1" s="1"/>
  <c r="L43" i="1"/>
  <c r="I43" i="1" s="1"/>
  <c r="G30" i="1"/>
  <c r="G35" i="1"/>
  <c r="H35" i="1" s="1"/>
  <c r="F38" i="1"/>
  <c r="L39" i="1"/>
  <c r="I39" i="1" s="1"/>
  <c r="K40" i="1"/>
  <c r="G40" i="1"/>
  <c r="H40" i="1" s="1"/>
  <c r="L36" i="1"/>
  <c r="I36" i="1" s="1"/>
  <c r="G29" i="1"/>
  <c r="L37" i="1"/>
  <c r="I37" i="1" s="1"/>
  <c r="L34" i="1"/>
  <c r="I34" i="1" s="1"/>
  <c r="K27" i="1"/>
  <c r="G27" i="1"/>
  <c r="K26" i="1"/>
  <c r="G26" i="1"/>
  <c r="L31" i="1"/>
  <c r="I31" i="1" s="1"/>
  <c r="G18" i="1"/>
  <c r="K23" i="1"/>
  <c r="G23" i="1"/>
  <c r="H23" i="1" s="1"/>
  <c r="L28" i="1"/>
  <c r="I28" i="1" s="1"/>
  <c r="K17" i="1"/>
  <c r="G17" i="1"/>
  <c r="K20" i="1"/>
  <c r="G20" i="1"/>
  <c r="H20" i="1" s="1"/>
  <c r="L24" i="1"/>
  <c r="I24" i="1" s="1"/>
  <c r="L25" i="1"/>
  <c r="I25" i="1" s="1"/>
  <c r="L22" i="1"/>
  <c r="I22" i="1" s="1"/>
  <c r="G8" i="1"/>
  <c r="L21" i="1"/>
  <c r="I21" i="1" s="1"/>
  <c r="G12" i="1"/>
  <c r="L19" i="1"/>
  <c r="I19" i="1" s="1"/>
  <c r="K14" i="1"/>
  <c r="G14" i="1"/>
  <c r="K11" i="1"/>
  <c r="G11" i="1"/>
  <c r="L15" i="1"/>
  <c r="I15" i="1" s="1"/>
  <c r="L16" i="1"/>
  <c r="I16" i="1" s="1"/>
  <c r="L13" i="1"/>
  <c r="I13" i="1" s="1"/>
  <c r="L10" i="1"/>
  <c r="I10" i="1" s="1"/>
  <c r="L9" i="1"/>
  <c r="I9" i="1" s="1"/>
  <c r="K7" i="1"/>
  <c r="K5" i="1"/>
  <c r="G5" i="1"/>
  <c r="J7" i="1"/>
  <c r="F6" i="1"/>
  <c r="L7" i="1"/>
  <c r="L2" i="1"/>
  <c r="K4" i="1"/>
  <c r="L4" i="1"/>
  <c r="L3" i="1"/>
  <c r="K2" i="1"/>
  <c r="K3" i="1"/>
  <c r="H52" i="1" l="1"/>
  <c r="L52" i="1" s="1"/>
  <c r="I52" i="1" s="1"/>
  <c r="H62" i="1"/>
  <c r="L62" i="1" s="1"/>
  <c r="I62" i="1" s="1"/>
  <c r="H56" i="1"/>
  <c r="L56" i="1" s="1"/>
  <c r="I56" i="1" s="1"/>
  <c r="H47" i="1"/>
  <c r="L47" i="1" s="1"/>
  <c r="I47" i="1" s="1"/>
  <c r="H44" i="1"/>
  <c r="L44" i="1" s="1"/>
  <c r="I44" i="1" s="1"/>
  <c r="H29" i="1"/>
  <c r="L29" i="1" s="1"/>
  <c r="I29" i="1" s="1"/>
  <c r="H30" i="1"/>
  <c r="L30" i="1" s="1"/>
  <c r="I30" i="1" s="1"/>
  <c r="L51" i="1"/>
  <c r="I51" i="1" s="1"/>
  <c r="H42" i="1"/>
  <c r="L42" i="1" s="1"/>
  <c r="I42" i="1" s="1"/>
  <c r="H26" i="1"/>
  <c r="L26" i="1" s="1"/>
  <c r="I26" i="1" s="1"/>
  <c r="H8" i="1"/>
  <c r="L8" i="1" s="1"/>
  <c r="I8" i="1" s="1"/>
  <c r="H17" i="1"/>
  <c r="L17" i="1" s="1"/>
  <c r="I17" i="1" s="1"/>
  <c r="H12" i="1"/>
  <c r="L12" i="1" s="1"/>
  <c r="I12" i="1" s="1"/>
  <c r="H27" i="1"/>
  <c r="L27" i="1" s="1"/>
  <c r="I27" i="1" s="1"/>
  <c r="H5" i="1"/>
  <c r="L5" i="1" s="1"/>
  <c r="I5" i="1" s="1"/>
  <c r="H11" i="1"/>
  <c r="L11" i="1" s="1"/>
  <c r="I11" i="1" s="1"/>
  <c r="H14" i="1"/>
  <c r="L14" i="1" s="1"/>
  <c r="I14" i="1" s="1"/>
  <c r="H18" i="1"/>
  <c r="L18" i="1" s="1"/>
  <c r="I18" i="1" s="1"/>
  <c r="L59" i="1"/>
  <c r="I59" i="1" s="1"/>
  <c r="L53" i="1"/>
  <c r="I53" i="1" s="1"/>
  <c r="L50" i="1"/>
  <c r="I50" i="1" s="1"/>
  <c r="L41" i="1"/>
  <c r="I41" i="1" s="1"/>
  <c r="L35" i="1"/>
  <c r="I35" i="1" s="1"/>
  <c r="K38" i="1"/>
  <c r="G38" i="1"/>
  <c r="H38" i="1" s="1"/>
  <c r="L40" i="1"/>
  <c r="I40" i="1" s="1"/>
  <c r="L23" i="1"/>
  <c r="I23" i="1" s="1"/>
  <c r="L20" i="1"/>
  <c r="I20" i="1" s="1"/>
  <c r="I7" i="1"/>
  <c r="I3" i="1"/>
  <c r="K6" i="1"/>
  <c r="G6" i="1"/>
  <c r="I4" i="1"/>
  <c r="I2" i="1"/>
  <c r="H6" i="1" l="1"/>
  <c r="L6" i="1" s="1"/>
  <c r="I6" i="1" s="1"/>
  <c r="L38" i="1"/>
  <c r="I38" i="1" s="1"/>
</calcChain>
</file>

<file path=xl/sharedStrings.xml><?xml version="1.0" encoding="utf-8"?>
<sst xmlns="http://schemas.openxmlformats.org/spreadsheetml/2006/main" count="75" uniqueCount="15">
  <si>
    <t>date</t>
  </si>
  <si>
    <t>id_machine</t>
  </si>
  <si>
    <t>machine_no</t>
  </si>
  <si>
    <t>loading_time</t>
  </si>
  <si>
    <t>stop_time</t>
  </si>
  <si>
    <t>net_operation_time</t>
  </si>
  <si>
    <t>qty_output</t>
  </si>
  <si>
    <t>qty_defect</t>
  </si>
  <si>
    <t>oee</t>
  </si>
  <si>
    <t>availability</t>
  </si>
  <si>
    <t>performance</t>
  </si>
  <si>
    <t>quality</t>
  </si>
  <si>
    <t>MACH-01</t>
  </si>
  <si>
    <t>MACH-02</t>
  </si>
  <si>
    <t>MACH-03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</si>
</sst>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"/>
  </numFmts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4113-876C-47E9-8E95-E8FFF9637D05}">
  <dimension ref="A1:L64"/>
  <sheetViews>
    <sheetView tabSelected="1" topLeftCell="A52" workbookViewId="0">
      <selection activeCell="A2" sqref="A2:XFD64"/>
    </sheetView>
  </sheetViews>
  <sheetFormatPr defaultRowHeight="14.25" x14ac:dyDescent="0.45"/>
  <cols>
    <col min="1" max="1" width="11.265625" style="1" customWidth="1"/>
    <col min="2" max="2" width="14.6640625" customWidth="1"/>
    <col min="3" max="3" width="15.53125" customWidth="1"/>
    <col min="4" max="4" width="14.73046875" customWidth="1"/>
    <col min="5" max="5" width="11.796875" customWidth="1"/>
    <col min="6" max="6" width="18.6640625" customWidth="1"/>
    <col min="7" max="7" width="14.46484375" customWidth="1"/>
    <col min="8" max="8" width="13.9296875" customWidth="1"/>
    <col min="10" max="10" width="13.59765625" customWidth="1"/>
    <col min="11" max="11" width="13.19921875" customWidth="1"/>
    <col min="12" max="12" width="13.33203125" customWidth="1"/>
  </cols>
  <sheetData>
    <row r="1" spans="1:12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1">
        <v>45870</v>
      </c>
      <c r="B2">
        <v>1</v>
      </c>
      <c r="C2" t="s">
        <v>12</v>
      </c>
      <c r="D2">
        <f>20*60</f>
        <v>1200</v>
      </c>
      <c r="E2">
        <f ca="1">D2*(RANDBETWEEN(5,13)/100)</f>
        <v>84.000000000000014</v>
      </c>
      <c r="F2">
        <f ca="1">(D2-E2)*(1-(RANDBETWEEN(5,10)/100))</f>
        <v>1037.8799999999999</v>
      </c>
      <c r="G2">
        <f ca="1">ROUND((F2*60)/30,0)</f>
        <v>2076</v>
      </c>
      <c r="H2">
        <f ca="1">ROUND(G2*((RANDBETWEEN(1,5)/100)),0)</f>
        <v>62</v>
      </c>
      <c r="I2" s="2">
        <f ca="1">((J2/100)*(K2/100)*(L2/100))*100</f>
        <v>83.906965317919074</v>
      </c>
      <c r="J2" s="2">
        <f ca="1">((D2-E2)/D2)*100</f>
        <v>93</v>
      </c>
      <c r="K2" s="2">
        <f ca="1">(F2/(D2-E2))*100</f>
        <v>93</v>
      </c>
      <c r="L2" s="3">
        <f t="shared" ref="L2:L3" ca="1" si="0">((G2-H2)/G2)*100</f>
        <v>97.013487475915213</v>
      </c>
    </row>
    <row r="3" spans="1:12" x14ac:dyDescent="0.45">
      <c r="A3" s="1">
        <v>45870</v>
      </c>
      <c r="B3">
        <v>2</v>
      </c>
      <c r="C3" t="s">
        <v>13</v>
      </c>
      <c r="D3">
        <f t="shared" ref="D3:D64" si="1">20*60</f>
        <v>1200</v>
      </c>
      <c r="E3">
        <f t="shared" ref="E3:E64" ca="1" si="2">D3*(RANDBETWEEN(5,13)/100)</f>
        <v>96</v>
      </c>
      <c r="F3">
        <f t="shared" ref="F3:F4" ca="1" si="3">(D3-E3)*(1-(RANDBETWEEN(5,10)/100))</f>
        <v>1048.8</v>
      </c>
      <c r="G3">
        <f t="shared" ref="G3:G64" ca="1" si="4">ROUND((F3*60)/30,0)</f>
        <v>2098</v>
      </c>
      <c r="H3">
        <f t="shared" ref="H3:H64" ca="1" si="5">ROUND(G3*((RANDBETWEEN(1,5)/100)),0)</f>
        <v>21</v>
      </c>
      <c r="I3" s="2">
        <f t="shared" ref="I3:I4" ca="1" si="6">((J3/100)*(K3/100)*(L3/100))*100</f>
        <v>86.525166825548141</v>
      </c>
      <c r="J3" s="2">
        <f t="shared" ref="J3:J4" ca="1" si="7">((D3-E3)/D3)*100</f>
        <v>92</v>
      </c>
      <c r="K3" s="2">
        <f t="shared" ref="K3:K4" ca="1" si="8">(F3/(D3-E3))*100</f>
        <v>95</v>
      </c>
      <c r="L3" s="3">
        <f t="shared" ca="1" si="0"/>
        <v>98.999046711153483</v>
      </c>
    </row>
    <row r="4" spans="1:12" x14ac:dyDescent="0.45">
      <c r="A4" s="1">
        <v>45870</v>
      </c>
      <c r="B4">
        <v>3</v>
      </c>
      <c r="C4" t="s">
        <v>14</v>
      </c>
      <c r="D4">
        <f t="shared" si="1"/>
        <v>1200</v>
      </c>
      <c r="E4">
        <f t="shared" ca="1" si="2"/>
        <v>84.000000000000014</v>
      </c>
      <c r="F4">
        <f t="shared" ca="1" si="3"/>
        <v>1037.8799999999999</v>
      </c>
      <c r="G4">
        <f t="shared" ca="1" si="4"/>
        <v>2076</v>
      </c>
      <c r="H4">
        <f t="shared" ca="1" si="5"/>
        <v>104</v>
      </c>
      <c r="I4" s="2">
        <f t="shared" ca="1" si="6"/>
        <v>82.157167630057813</v>
      </c>
      <c r="J4" s="2">
        <f t="shared" ca="1" si="7"/>
        <v>93</v>
      </c>
      <c r="K4" s="2">
        <f t="shared" ca="1" si="8"/>
        <v>93</v>
      </c>
      <c r="L4" s="3">
        <f ca="1">((G4-H4)/G4)*100</f>
        <v>94.990366088631987</v>
      </c>
    </row>
    <row r="5" spans="1:12" x14ac:dyDescent="0.45">
      <c r="A5" s="1">
        <v>45873</v>
      </c>
      <c r="B5">
        <v>1</v>
      </c>
      <c r="C5" t="s">
        <v>12</v>
      </c>
      <c r="D5">
        <f>20*60</f>
        <v>1200</v>
      </c>
      <c r="E5">
        <f ca="1">D5*(RANDBETWEEN(5,13)/100)</f>
        <v>120</v>
      </c>
      <c r="F5">
        <f ca="1">(D5-E5)*(1-(RANDBETWEEN(5,10)/100))</f>
        <v>1015.1999999999999</v>
      </c>
      <c r="G5">
        <f ca="1">ROUND((F5*60)/30,0)</f>
        <v>2030</v>
      </c>
      <c r="H5">
        <f t="shared" ca="1" si="5"/>
        <v>61</v>
      </c>
      <c r="I5" s="2">
        <f ca="1">((J5/100)*(K5/100)*(L5/100))*100</f>
        <v>82.057832512315272</v>
      </c>
      <c r="J5" s="2">
        <f ca="1">((D5-E5)/D5)*100</f>
        <v>90</v>
      </c>
      <c r="K5" s="2">
        <f ca="1">(F5/(D5-E5))*100</f>
        <v>94</v>
      </c>
      <c r="L5" s="3">
        <f t="shared" ref="L5:L6" ca="1" si="9">((G5-H5)/G5)*100</f>
        <v>96.995073891625623</v>
      </c>
    </row>
    <row r="6" spans="1:12" x14ac:dyDescent="0.45">
      <c r="A6" s="1">
        <v>45873</v>
      </c>
      <c r="B6">
        <v>2</v>
      </c>
      <c r="C6" t="s">
        <v>13</v>
      </c>
      <c r="D6">
        <f t="shared" si="1"/>
        <v>1200</v>
      </c>
      <c r="E6">
        <f t="shared" ca="1" si="2"/>
        <v>132</v>
      </c>
      <c r="F6">
        <f t="shared" ref="F6:F7" ca="1" si="10">(D6-E6)*(1-(RANDBETWEEN(5,10)/100))</f>
        <v>982.56000000000006</v>
      </c>
      <c r="G6">
        <f t="shared" ca="1" si="4"/>
        <v>1965</v>
      </c>
      <c r="H6">
        <f t="shared" ca="1" si="5"/>
        <v>39</v>
      </c>
      <c r="I6" s="2">
        <f t="shared" ref="I6:I7" ca="1" si="11">((J6/100)*(K6/100)*(L6/100))*100</f>
        <v>80.254900763358776</v>
      </c>
      <c r="J6" s="2">
        <f t="shared" ref="J6:J7" ca="1" si="12">((D6-E6)/D6)*100</f>
        <v>89</v>
      </c>
      <c r="K6" s="2">
        <f t="shared" ref="K6:K7" ca="1" si="13">(F6/(D6-E6))*100</f>
        <v>92</v>
      </c>
      <c r="L6" s="3">
        <f t="shared" ca="1" si="9"/>
        <v>98.015267175572518</v>
      </c>
    </row>
    <row r="7" spans="1:12" x14ac:dyDescent="0.45">
      <c r="A7" s="1">
        <v>45873</v>
      </c>
      <c r="B7">
        <v>3</v>
      </c>
      <c r="C7" t="s">
        <v>14</v>
      </c>
      <c r="D7">
        <f t="shared" si="1"/>
        <v>1200</v>
      </c>
      <c r="E7">
        <f t="shared" ca="1" si="2"/>
        <v>72</v>
      </c>
      <c r="F7">
        <f t="shared" ca="1" si="10"/>
        <v>1049.04</v>
      </c>
      <c r="G7">
        <f t="shared" ca="1" si="4"/>
        <v>2098</v>
      </c>
      <c r="H7">
        <f t="shared" ca="1" si="5"/>
        <v>42</v>
      </c>
      <c r="I7" s="2">
        <f t="shared" ca="1" si="11"/>
        <v>85.669933269780756</v>
      </c>
      <c r="J7" s="2">
        <f t="shared" ca="1" si="12"/>
        <v>94</v>
      </c>
      <c r="K7" s="2">
        <f t="shared" ca="1" si="13"/>
        <v>93</v>
      </c>
      <c r="L7" s="3">
        <f ca="1">((G7-H7)/G7)*100</f>
        <v>97.998093422306965</v>
      </c>
    </row>
    <row r="8" spans="1:12" x14ac:dyDescent="0.45">
      <c r="A8" s="1">
        <v>45874</v>
      </c>
      <c r="B8">
        <v>1</v>
      </c>
      <c r="C8" t="s">
        <v>12</v>
      </c>
      <c r="D8">
        <f>20*60</f>
        <v>1200</v>
      </c>
      <c r="E8">
        <f ca="1">D8*(RANDBETWEEN(5,13)/100)</f>
        <v>108</v>
      </c>
      <c r="F8">
        <f ca="1">(D8-E8)*(1-(RANDBETWEEN(5,10)/100))</f>
        <v>1015.56</v>
      </c>
      <c r="G8">
        <f ca="1">ROUND((F8*60)/30,0)</f>
        <v>2031</v>
      </c>
      <c r="H8">
        <f t="shared" ca="1" si="5"/>
        <v>102</v>
      </c>
      <c r="I8" s="2">
        <f ca="1">((J8/100)*(K8/100)*(L8/100))*100</f>
        <v>80.379748892171349</v>
      </c>
      <c r="J8" s="2">
        <f ca="1">((D8-E8)/D8)*100</f>
        <v>91</v>
      </c>
      <c r="K8" s="2">
        <f ca="1">(F8/(D8-E8))*100</f>
        <v>93</v>
      </c>
      <c r="L8" s="3">
        <f t="shared" ref="L8:L9" ca="1" si="14">((G8-H8)/G8)*100</f>
        <v>94.977843426883311</v>
      </c>
    </row>
    <row r="9" spans="1:12" x14ac:dyDescent="0.45">
      <c r="A9" s="1">
        <v>45874</v>
      </c>
      <c r="B9">
        <v>2</v>
      </c>
      <c r="C9" t="s">
        <v>13</v>
      </c>
      <c r="D9">
        <f t="shared" si="1"/>
        <v>1200</v>
      </c>
      <c r="E9">
        <f t="shared" ca="1" si="2"/>
        <v>156</v>
      </c>
      <c r="F9">
        <f t="shared" ref="F9:F10" ca="1" si="15">(D9-E9)*(1-(RANDBETWEEN(5,10)/100))</f>
        <v>991.8</v>
      </c>
      <c r="G9">
        <f t="shared" ca="1" si="4"/>
        <v>1984</v>
      </c>
      <c r="H9">
        <f t="shared" ca="1" si="5"/>
        <v>99</v>
      </c>
      <c r="I9" s="2">
        <f t="shared" ref="I9:I10" ca="1" si="16">((J9/100)*(K9/100)*(L9/100))*100</f>
        <v>78.525831653225794</v>
      </c>
      <c r="J9" s="2">
        <f t="shared" ref="J9:J10" ca="1" si="17">((D9-E9)/D9)*100</f>
        <v>87</v>
      </c>
      <c r="K9" s="2">
        <f t="shared" ref="K9:K10" ca="1" si="18">(F9/(D9-E9))*100</f>
        <v>95</v>
      </c>
      <c r="L9" s="3">
        <f t="shared" ca="1" si="14"/>
        <v>95.010080645161281</v>
      </c>
    </row>
    <row r="10" spans="1:12" x14ac:dyDescent="0.45">
      <c r="A10" s="1">
        <v>45874</v>
      </c>
      <c r="B10">
        <v>3</v>
      </c>
      <c r="C10" t="s">
        <v>14</v>
      </c>
      <c r="D10">
        <f t="shared" si="1"/>
        <v>1200</v>
      </c>
      <c r="E10">
        <f t="shared" ca="1" si="2"/>
        <v>84.000000000000014</v>
      </c>
      <c r="F10">
        <f t="shared" ca="1" si="15"/>
        <v>1060.2</v>
      </c>
      <c r="G10">
        <f t="shared" ca="1" si="4"/>
        <v>2120</v>
      </c>
      <c r="H10">
        <f t="shared" ca="1" si="5"/>
        <v>42</v>
      </c>
      <c r="I10" s="2">
        <f t="shared" ca="1" si="16"/>
        <v>86.599669811320751</v>
      </c>
      <c r="J10" s="2">
        <f t="shared" ca="1" si="17"/>
        <v>93</v>
      </c>
      <c r="K10" s="2">
        <f t="shared" ca="1" si="18"/>
        <v>95</v>
      </c>
      <c r="L10" s="3">
        <f ca="1">((G10-H10)/G10)*100</f>
        <v>98.018867924528294</v>
      </c>
    </row>
    <row r="11" spans="1:12" x14ac:dyDescent="0.45">
      <c r="A11" s="1">
        <v>45875</v>
      </c>
      <c r="B11">
        <v>1</v>
      </c>
      <c r="C11" t="s">
        <v>12</v>
      </c>
      <c r="D11">
        <f>20*60</f>
        <v>1200</v>
      </c>
      <c r="E11">
        <f ca="1">D11*(RANDBETWEEN(5,13)/100)</f>
        <v>144</v>
      </c>
      <c r="F11">
        <f ca="1">(D11-E11)*(1-(RANDBETWEEN(5,10)/100))</f>
        <v>1003.1999999999999</v>
      </c>
      <c r="G11">
        <f ca="1">ROUND((F11*60)/30,0)</f>
        <v>2006</v>
      </c>
      <c r="H11">
        <f t="shared" ca="1" si="5"/>
        <v>20</v>
      </c>
      <c r="I11" s="2">
        <f ca="1">((J11/100)*(K11/100)*(L11/100))*100</f>
        <v>82.766500498504485</v>
      </c>
      <c r="J11" s="2">
        <f ca="1">((D11-E11)/D11)*100</f>
        <v>88</v>
      </c>
      <c r="K11" s="2">
        <f ca="1">(F11/(D11-E11))*100</f>
        <v>95</v>
      </c>
      <c r="L11" s="3">
        <f t="shared" ref="L11:L12" ca="1" si="19">((G11-H11)/G11)*100</f>
        <v>99.002991026919247</v>
      </c>
    </row>
    <row r="12" spans="1:12" x14ac:dyDescent="0.45">
      <c r="A12" s="1">
        <v>45875</v>
      </c>
      <c r="B12">
        <v>2</v>
      </c>
      <c r="C12" t="s">
        <v>13</v>
      </c>
      <c r="D12">
        <f t="shared" si="1"/>
        <v>1200</v>
      </c>
      <c r="E12">
        <f t="shared" ca="1" si="2"/>
        <v>132</v>
      </c>
      <c r="F12">
        <f t="shared" ref="F12:F13" ca="1" si="20">(D12-E12)*(1-(RANDBETWEEN(5,10)/100))</f>
        <v>961.2</v>
      </c>
      <c r="G12">
        <f t="shared" ca="1" si="4"/>
        <v>1922</v>
      </c>
      <c r="H12">
        <f t="shared" ca="1" si="5"/>
        <v>96</v>
      </c>
      <c r="I12" s="2">
        <f t="shared" ref="I12:I13" ca="1" si="21">((J12/100)*(K12/100)*(L12/100))*100</f>
        <v>76.099167533818942</v>
      </c>
      <c r="J12" s="2">
        <f t="shared" ref="J12:J13" ca="1" si="22">((D12-E12)/D12)*100</f>
        <v>89</v>
      </c>
      <c r="K12" s="2">
        <f t="shared" ref="K12:K13" ca="1" si="23">(F12/(D12-E12))*100</f>
        <v>90</v>
      </c>
      <c r="L12" s="3">
        <f t="shared" ca="1" si="19"/>
        <v>95.005202913631635</v>
      </c>
    </row>
    <row r="13" spans="1:12" x14ac:dyDescent="0.45">
      <c r="A13" s="1">
        <v>45875</v>
      </c>
      <c r="B13">
        <v>3</v>
      </c>
      <c r="C13" t="s">
        <v>14</v>
      </c>
      <c r="D13">
        <f t="shared" si="1"/>
        <v>1200</v>
      </c>
      <c r="E13">
        <f t="shared" ca="1" si="2"/>
        <v>84.000000000000014</v>
      </c>
      <c r="F13">
        <f t="shared" ca="1" si="20"/>
        <v>1026.72</v>
      </c>
      <c r="G13">
        <f t="shared" ca="1" si="4"/>
        <v>2053</v>
      </c>
      <c r="H13">
        <f t="shared" ca="1" si="5"/>
        <v>62</v>
      </c>
      <c r="I13" s="2">
        <f t="shared" ca="1" si="21"/>
        <v>82.976113005358016</v>
      </c>
      <c r="J13" s="2">
        <f t="shared" ca="1" si="22"/>
        <v>93</v>
      </c>
      <c r="K13" s="2">
        <f t="shared" ca="1" si="23"/>
        <v>92</v>
      </c>
      <c r="L13" s="3">
        <f ca="1">((G13-H13)/G13)*100</f>
        <v>96.980029225523623</v>
      </c>
    </row>
    <row r="14" spans="1:12" x14ac:dyDescent="0.45">
      <c r="A14" s="1">
        <v>45876</v>
      </c>
      <c r="B14">
        <v>1</v>
      </c>
      <c r="C14" t="s">
        <v>12</v>
      </c>
      <c r="D14">
        <f>20*60</f>
        <v>1200</v>
      </c>
      <c r="E14">
        <f ca="1">D14*(RANDBETWEEN(5,13)/100)</f>
        <v>96</v>
      </c>
      <c r="F14">
        <f ca="1">(D14-E14)*(1-(RANDBETWEEN(5,10)/100))</f>
        <v>1015.6800000000001</v>
      </c>
      <c r="G14">
        <f ca="1">ROUND((F14*60)/30,0)</f>
        <v>2031</v>
      </c>
      <c r="H14">
        <f t="shared" ca="1" si="5"/>
        <v>102</v>
      </c>
      <c r="I14" s="2">
        <f ca="1">((J14/100)*(K14/100)*(L14/100))*100</f>
        <v>80.389246676514034</v>
      </c>
      <c r="J14" s="2">
        <f ca="1">((D14-E14)/D14)*100</f>
        <v>92</v>
      </c>
      <c r="K14" s="2">
        <f ca="1">(F14/(D14-E14))*100</f>
        <v>92</v>
      </c>
      <c r="L14" s="3">
        <f t="shared" ref="L14:L15" ca="1" si="24">((G14-H14)/G14)*100</f>
        <v>94.977843426883311</v>
      </c>
    </row>
    <row r="15" spans="1:12" x14ac:dyDescent="0.45">
      <c r="A15" s="1">
        <v>45876</v>
      </c>
      <c r="B15">
        <v>2</v>
      </c>
      <c r="C15" t="s">
        <v>13</v>
      </c>
      <c r="D15">
        <f t="shared" si="1"/>
        <v>1200</v>
      </c>
      <c r="E15">
        <f t="shared" ca="1" si="2"/>
        <v>72</v>
      </c>
      <c r="F15">
        <f t="shared" ref="F15:F16" ca="1" si="25">(D15-E15)*(1-(RANDBETWEEN(5,10)/100))</f>
        <v>1060.32</v>
      </c>
      <c r="G15">
        <f t="shared" ca="1" si="4"/>
        <v>2121</v>
      </c>
      <c r="H15">
        <f t="shared" ca="1" si="5"/>
        <v>21</v>
      </c>
      <c r="I15" s="2">
        <f t="shared" ref="I15:I16" ca="1" si="26">((J15/100)*(K15/100)*(L15/100))*100</f>
        <v>87.485148514851474</v>
      </c>
      <c r="J15" s="2">
        <f t="shared" ref="J15:J16" ca="1" si="27">((D15-E15)/D15)*100</f>
        <v>94</v>
      </c>
      <c r="K15" s="2">
        <f t="shared" ref="K15:K16" ca="1" si="28">(F15/(D15-E15))*100</f>
        <v>94</v>
      </c>
      <c r="L15" s="3">
        <f t="shared" ca="1" si="24"/>
        <v>99.009900990099013</v>
      </c>
    </row>
    <row r="16" spans="1:12" x14ac:dyDescent="0.45">
      <c r="A16" s="1">
        <v>45876</v>
      </c>
      <c r="B16">
        <v>3</v>
      </c>
      <c r="C16" t="s">
        <v>14</v>
      </c>
      <c r="D16">
        <f t="shared" si="1"/>
        <v>1200</v>
      </c>
      <c r="E16">
        <f t="shared" ca="1" si="2"/>
        <v>60</v>
      </c>
      <c r="F16">
        <f t="shared" ca="1" si="25"/>
        <v>1026</v>
      </c>
      <c r="G16">
        <f t="shared" ca="1" si="4"/>
        <v>2052</v>
      </c>
      <c r="H16">
        <f t="shared" ca="1" si="5"/>
        <v>103</v>
      </c>
      <c r="I16" s="2">
        <f t="shared" ca="1" si="26"/>
        <v>81.208333333333343</v>
      </c>
      <c r="J16" s="2">
        <f t="shared" ca="1" si="27"/>
        <v>95</v>
      </c>
      <c r="K16" s="2">
        <f t="shared" ca="1" si="28"/>
        <v>90</v>
      </c>
      <c r="L16" s="3">
        <f ca="1">((G16-H16)/G16)*100</f>
        <v>94.980506822612085</v>
      </c>
    </row>
    <row r="17" spans="1:12" x14ac:dyDescent="0.45">
      <c r="A17" s="1">
        <v>45877</v>
      </c>
      <c r="B17">
        <v>1</v>
      </c>
      <c r="C17" t="s">
        <v>12</v>
      </c>
      <c r="D17">
        <f>20*60</f>
        <v>1200</v>
      </c>
      <c r="E17">
        <f ca="1">D17*(RANDBETWEEN(5,13)/100)</f>
        <v>156</v>
      </c>
      <c r="F17">
        <f ca="1">(D17-E17)*(1-(RANDBETWEEN(5,10)/100))</f>
        <v>960.48</v>
      </c>
      <c r="G17">
        <f ca="1">ROUND((F17*60)/30,0)</f>
        <v>1921</v>
      </c>
      <c r="H17">
        <f t="shared" ca="1" si="5"/>
        <v>38</v>
      </c>
      <c r="I17" s="2">
        <f ca="1">((J17/100)*(K17/100)*(L17/100))*100</f>
        <v>78.456699635606455</v>
      </c>
      <c r="J17" s="2">
        <f ca="1">((D17-E17)/D17)*100</f>
        <v>87</v>
      </c>
      <c r="K17" s="2">
        <f ca="1">(F17/(D17-E17))*100</f>
        <v>92</v>
      </c>
      <c r="L17" s="3">
        <f t="shared" ref="L17:L18" ca="1" si="29">((G17-H17)/G17)*100</f>
        <v>98.021863612701722</v>
      </c>
    </row>
    <row r="18" spans="1:12" x14ac:dyDescent="0.45">
      <c r="A18" s="1">
        <v>45877</v>
      </c>
      <c r="B18">
        <v>2</v>
      </c>
      <c r="C18" t="s">
        <v>13</v>
      </c>
      <c r="D18">
        <f t="shared" si="1"/>
        <v>1200</v>
      </c>
      <c r="E18">
        <f t="shared" ca="1" si="2"/>
        <v>120</v>
      </c>
      <c r="F18">
        <f t="shared" ref="F18:F19" ca="1" si="30">(D18-E18)*(1-(RANDBETWEEN(5,10)/100))</f>
        <v>993.6</v>
      </c>
      <c r="G18">
        <f t="shared" ca="1" si="4"/>
        <v>1987</v>
      </c>
      <c r="H18">
        <f t="shared" ca="1" si="5"/>
        <v>99</v>
      </c>
      <c r="I18" s="2">
        <f t="shared" ref="I18:I19" ca="1" si="31">((J18/100)*(K18/100)*(L18/100))*100</f>
        <v>78.674584801207857</v>
      </c>
      <c r="J18" s="2">
        <f t="shared" ref="J18:J19" ca="1" si="32">((D18-E18)/D18)*100</f>
        <v>90</v>
      </c>
      <c r="K18" s="2">
        <f t="shared" ref="K18:K19" ca="1" si="33">(F18/(D18-E18))*100</f>
        <v>92</v>
      </c>
      <c r="L18" s="3">
        <f t="shared" ca="1" si="29"/>
        <v>95.017614494212381</v>
      </c>
    </row>
    <row r="19" spans="1:12" x14ac:dyDescent="0.45">
      <c r="A19" s="1">
        <v>45877</v>
      </c>
      <c r="B19">
        <v>3</v>
      </c>
      <c r="C19" t="s">
        <v>14</v>
      </c>
      <c r="D19">
        <f t="shared" si="1"/>
        <v>1200</v>
      </c>
      <c r="E19">
        <f t="shared" ca="1" si="2"/>
        <v>60</v>
      </c>
      <c r="F19">
        <f t="shared" ca="1" si="30"/>
        <v>1026</v>
      </c>
      <c r="G19">
        <f t="shared" ca="1" si="4"/>
        <v>2052</v>
      </c>
      <c r="H19">
        <f t="shared" ca="1" si="5"/>
        <v>103</v>
      </c>
      <c r="I19" s="2">
        <f t="shared" ca="1" si="31"/>
        <v>81.208333333333343</v>
      </c>
      <c r="J19" s="2">
        <f t="shared" ca="1" si="32"/>
        <v>95</v>
      </c>
      <c r="K19" s="2">
        <f t="shared" ca="1" si="33"/>
        <v>90</v>
      </c>
      <c r="L19" s="3">
        <f ca="1">((G19-H19)/G19)*100</f>
        <v>94.980506822612085</v>
      </c>
    </row>
    <row r="20" spans="1:12" x14ac:dyDescent="0.45">
      <c r="A20" s="1">
        <v>45880</v>
      </c>
      <c r="B20">
        <v>1</v>
      </c>
      <c r="C20" t="s">
        <v>12</v>
      </c>
      <c r="D20">
        <f>20*60</f>
        <v>1200</v>
      </c>
      <c r="E20">
        <f ca="1">D20*(RANDBETWEEN(5,13)/100)</f>
        <v>144</v>
      </c>
      <c r="F20">
        <f ca="1">(D20-E20)*(1-(RANDBETWEEN(5,10)/100))</f>
        <v>950.4</v>
      </c>
      <c r="G20">
        <f ca="1">ROUND((F20*60)/30,0)</f>
        <v>1901</v>
      </c>
      <c r="H20">
        <f t="shared" ca="1" si="5"/>
        <v>95</v>
      </c>
      <c r="I20" s="2">
        <f ca="1">((J20/100)*(K20/100)*(L20/100))*100</f>
        <v>75.242083114150461</v>
      </c>
      <c r="J20" s="2">
        <f ca="1">((D20-E20)/D20)*100</f>
        <v>88</v>
      </c>
      <c r="K20" s="2">
        <f ca="1">(F20/(D20-E20))*100</f>
        <v>90</v>
      </c>
      <c r="L20" s="3">
        <f t="shared" ref="L20:L21" ca="1" si="34">((G20-H20)/G20)*100</f>
        <v>95.002630194634406</v>
      </c>
    </row>
    <row r="21" spans="1:12" x14ac:dyDescent="0.45">
      <c r="A21" s="1">
        <v>45880</v>
      </c>
      <c r="B21">
        <v>2</v>
      </c>
      <c r="C21" t="s">
        <v>13</v>
      </c>
      <c r="D21">
        <f t="shared" si="1"/>
        <v>1200</v>
      </c>
      <c r="E21">
        <f t="shared" ca="1" si="2"/>
        <v>144</v>
      </c>
      <c r="F21">
        <f t="shared" ref="F21:F22" ca="1" si="35">(D21-E21)*(1-(RANDBETWEEN(5,10)/100))</f>
        <v>1003.1999999999999</v>
      </c>
      <c r="G21">
        <f t="shared" ca="1" si="4"/>
        <v>2006</v>
      </c>
      <c r="H21">
        <f t="shared" ca="1" si="5"/>
        <v>40</v>
      </c>
      <c r="I21" s="2">
        <f t="shared" ref="I21:I22" ca="1" si="36">((J21/100)*(K21/100)*(L21/100))*100</f>
        <v>81.933000997008961</v>
      </c>
      <c r="J21" s="2">
        <f t="shared" ref="J21:J22" ca="1" si="37">((D21-E21)/D21)*100</f>
        <v>88</v>
      </c>
      <c r="K21" s="2">
        <f t="shared" ref="K21:K22" ca="1" si="38">(F21/(D21-E21))*100</f>
        <v>95</v>
      </c>
      <c r="L21" s="3">
        <f t="shared" ca="1" si="34"/>
        <v>98.00598205383848</v>
      </c>
    </row>
    <row r="22" spans="1:12" x14ac:dyDescent="0.45">
      <c r="A22" s="1">
        <v>45880</v>
      </c>
      <c r="B22">
        <v>3</v>
      </c>
      <c r="C22" t="s">
        <v>14</v>
      </c>
      <c r="D22">
        <f t="shared" si="1"/>
        <v>1200</v>
      </c>
      <c r="E22">
        <f t="shared" ca="1" si="2"/>
        <v>132</v>
      </c>
      <c r="F22">
        <f t="shared" ca="1" si="35"/>
        <v>993.2399999999999</v>
      </c>
      <c r="G22">
        <f t="shared" ca="1" si="4"/>
        <v>1986</v>
      </c>
      <c r="H22">
        <f t="shared" ca="1" si="5"/>
        <v>79</v>
      </c>
      <c r="I22" s="2">
        <f t="shared" ca="1" si="36"/>
        <v>79.477537764350458</v>
      </c>
      <c r="J22" s="2">
        <f t="shared" ca="1" si="37"/>
        <v>89</v>
      </c>
      <c r="K22" s="2">
        <f t="shared" ca="1" si="38"/>
        <v>93</v>
      </c>
      <c r="L22" s="3">
        <f ca="1">((G22-H22)/G22)*100</f>
        <v>96.022155085599195</v>
      </c>
    </row>
    <row r="23" spans="1:12" x14ac:dyDescent="0.45">
      <c r="A23" s="1">
        <v>45881</v>
      </c>
      <c r="B23">
        <v>1</v>
      </c>
      <c r="C23" t="s">
        <v>12</v>
      </c>
      <c r="D23">
        <f>20*60</f>
        <v>1200</v>
      </c>
      <c r="E23">
        <f ca="1">D23*(RANDBETWEEN(5,13)/100)</f>
        <v>72</v>
      </c>
      <c r="F23">
        <f ca="1">(D23-E23)*(1-(RANDBETWEEN(5,10)/100))</f>
        <v>1037.76</v>
      </c>
      <c r="G23">
        <f ca="1">ROUND((F23*60)/30,0)</f>
        <v>2076</v>
      </c>
      <c r="H23">
        <f t="shared" ca="1" si="5"/>
        <v>83</v>
      </c>
      <c r="I23" s="2">
        <f ca="1">((J23/100)*(K23/100)*(L23/100))*100</f>
        <v>83.022466281310201</v>
      </c>
      <c r="J23" s="2">
        <f ca="1">((D23-E23)/D23)*100</f>
        <v>94</v>
      </c>
      <c r="K23" s="2">
        <f ca="1">(F23/(D23-E23))*100</f>
        <v>92</v>
      </c>
      <c r="L23" s="3">
        <f t="shared" ref="L23:L24" ca="1" si="39">((G23-H23)/G23)*100</f>
        <v>96.0019267822736</v>
      </c>
    </row>
    <row r="24" spans="1:12" x14ac:dyDescent="0.45">
      <c r="A24" s="1">
        <v>45881</v>
      </c>
      <c r="B24">
        <v>2</v>
      </c>
      <c r="C24" t="s">
        <v>13</v>
      </c>
      <c r="D24">
        <f t="shared" si="1"/>
        <v>1200</v>
      </c>
      <c r="E24">
        <f t="shared" ca="1" si="2"/>
        <v>72</v>
      </c>
      <c r="F24">
        <f t="shared" ref="F24:F25" ca="1" si="40">(D24-E24)*(1-(RANDBETWEEN(5,10)/100))</f>
        <v>1015.2</v>
      </c>
      <c r="G24">
        <f t="shared" ca="1" si="4"/>
        <v>2030</v>
      </c>
      <c r="H24">
        <f t="shared" ca="1" si="5"/>
        <v>102</v>
      </c>
      <c r="I24" s="2">
        <f t="shared" ref="I24:I25" ca="1" si="41">((J24/100)*(K24/100)*(L24/100))*100</f>
        <v>80.349162561576364</v>
      </c>
      <c r="J24" s="2">
        <f t="shared" ref="J24:J25" ca="1" si="42">((D24-E24)/D24)*100</f>
        <v>94</v>
      </c>
      <c r="K24" s="2">
        <f t="shared" ref="K24:K25" ca="1" si="43">(F24/(D24-E24))*100</f>
        <v>90</v>
      </c>
      <c r="L24" s="3">
        <f t="shared" ca="1" si="39"/>
        <v>94.975369458128085</v>
      </c>
    </row>
    <row r="25" spans="1:12" x14ac:dyDescent="0.45">
      <c r="A25" s="1">
        <v>45881</v>
      </c>
      <c r="B25">
        <v>3</v>
      </c>
      <c r="C25" t="s">
        <v>14</v>
      </c>
      <c r="D25">
        <f t="shared" si="1"/>
        <v>1200</v>
      </c>
      <c r="E25">
        <f t="shared" ca="1" si="2"/>
        <v>96</v>
      </c>
      <c r="F25">
        <f t="shared" ca="1" si="40"/>
        <v>1048.8</v>
      </c>
      <c r="G25">
        <f t="shared" ca="1" si="4"/>
        <v>2098</v>
      </c>
      <c r="H25">
        <f t="shared" ca="1" si="5"/>
        <v>21</v>
      </c>
      <c r="I25" s="2">
        <f t="shared" ca="1" si="41"/>
        <v>86.525166825548141</v>
      </c>
      <c r="J25" s="2">
        <f t="shared" ca="1" si="42"/>
        <v>92</v>
      </c>
      <c r="K25" s="2">
        <f t="shared" ca="1" si="43"/>
        <v>95</v>
      </c>
      <c r="L25" s="3">
        <f ca="1">((G25-H25)/G25)*100</f>
        <v>98.999046711153483</v>
      </c>
    </row>
    <row r="26" spans="1:12" x14ac:dyDescent="0.45">
      <c r="A26" s="1">
        <v>45882</v>
      </c>
      <c r="B26">
        <v>1</v>
      </c>
      <c r="C26" t="s">
        <v>12</v>
      </c>
      <c r="D26">
        <f>20*60</f>
        <v>1200</v>
      </c>
      <c r="E26">
        <f ca="1">D26*(RANDBETWEEN(5,13)/100)</f>
        <v>96</v>
      </c>
      <c r="F26">
        <f ca="1">(D26-E26)*(1-(RANDBETWEEN(5,10)/100))</f>
        <v>1015.6800000000001</v>
      </c>
      <c r="G26">
        <f ca="1">ROUND((F26*60)/30,0)</f>
        <v>2031</v>
      </c>
      <c r="H26">
        <f t="shared" ca="1" si="5"/>
        <v>41</v>
      </c>
      <c r="I26" s="2">
        <f ca="1">((J26/100)*(K26/100)*(L26/100))*100</f>
        <v>82.931363860167409</v>
      </c>
      <c r="J26" s="2">
        <f ca="1">((D26-E26)/D26)*100</f>
        <v>92</v>
      </c>
      <c r="K26" s="2">
        <f ca="1">(F26/(D26-E26))*100</f>
        <v>92</v>
      </c>
      <c r="L26" s="3">
        <f t="shared" ref="L26:L27" ca="1" si="44">((G26-H26)/G26)*100</f>
        <v>97.981290004923679</v>
      </c>
    </row>
    <row r="27" spans="1:12" x14ac:dyDescent="0.45">
      <c r="A27" s="1">
        <v>45882</v>
      </c>
      <c r="B27">
        <v>2</v>
      </c>
      <c r="C27" t="s">
        <v>13</v>
      </c>
      <c r="D27">
        <f t="shared" si="1"/>
        <v>1200</v>
      </c>
      <c r="E27">
        <f t="shared" ca="1" si="2"/>
        <v>120</v>
      </c>
      <c r="F27">
        <f t="shared" ref="F27:F28" ca="1" si="45">(D27-E27)*(1-(RANDBETWEEN(5,10)/100))</f>
        <v>972</v>
      </c>
      <c r="G27">
        <f t="shared" ca="1" si="4"/>
        <v>1944</v>
      </c>
      <c r="H27">
        <f t="shared" ca="1" si="5"/>
        <v>19</v>
      </c>
      <c r="I27" s="2">
        <f t="shared" ref="I27:I28" ca="1" si="46">((J27/100)*(K27/100)*(L27/100))*100</f>
        <v>80.208333333333343</v>
      </c>
      <c r="J27" s="2">
        <f t="shared" ref="J27:J28" ca="1" si="47">((D27-E27)/D27)*100</f>
        <v>90</v>
      </c>
      <c r="K27" s="2">
        <f t="shared" ref="K27:K28" ca="1" si="48">(F27/(D27-E27))*100</f>
        <v>90</v>
      </c>
      <c r="L27" s="3">
        <f t="shared" ca="1" si="44"/>
        <v>99.022633744855966</v>
      </c>
    </row>
    <row r="28" spans="1:12" x14ac:dyDescent="0.45">
      <c r="A28" s="1">
        <v>45882</v>
      </c>
      <c r="B28">
        <v>3</v>
      </c>
      <c r="C28" t="s">
        <v>14</v>
      </c>
      <c r="D28">
        <f t="shared" si="1"/>
        <v>1200</v>
      </c>
      <c r="E28">
        <f t="shared" ca="1" si="2"/>
        <v>132</v>
      </c>
      <c r="F28">
        <f t="shared" ca="1" si="45"/>
        <v>1003.92</v>
      </c>
      <c r="G28">
        <f t="shared" ca="1" si="4"/>
        <v>2008</v>
      </c>
      <c r="H28">
        <f ca="1">ROUND(G28*((RANDBETWEEN(1,5)/100)),0)</f>
        <v>100</v>
      </c>
      <c r="I28" s="2">
        <f t="shared" ca="1" si="46"/>
        <v>79.493665338645428</v>
      </c>
      <c r="J28" s="2">
        <f t="shared" ca="1" si="47"/>
        <v>89</v>
      </c>
      <c r="K28" s="2">
        <f t="shared" ca="1" si="48"/>
        <v>94</v>
      </c>
      <c r="L28" s="3">
        <f ca="1">((G28-H28)/G28)*100</f>
        <v>95.019920318725099</v>
      </c>
    </row>
    <row r="29" spans="1:12" x14ac:dyDescent="0.45">
      <c r="A29" s="1">
        <v>45883</v>
      </c>
      <c r="B29">
        <v>1</v>
      </c>
      <c r="C29" t="s">
        <v>12</v>
      </c>
      <c r="D29">
        <f>20*60</f>
        <v>1200</v>
      </c>
      <c r="E29">
        <f ca="1">D29*(RANDBETWEEN(5,13)/100)</f>
        <v>72</v>
      </c>
      <c r="F29">
        <f ca="1">(D29-E29)*(1-(RANDBETWEEN(5,10)/100))</f>
        <v>1060.32</v>
      </c>
      <c r="G29">
        <f ca="1">ROUND((F29*60)/30,0)</f>
        <v>2121</v>
      </c>
      <c r="H29">
        <f t="shared" ca="1" si="5"/>
        <v>106</v>
      </c>
      <c r="I29" s="2">
        <f ca="1">((J29/100)*(K29/100)*(L29/100))*100</f>
        <v>83.944082979726545</v>
      </c>
      <c r="J29" s="2">
        <f ca="1">((D29-E29)/D29)*100</f>
        <v>94</v>
      </c>
      <c r="K29" s="2">
        <f ca="1">(F29/(D29-E29))*100</f>
        <v>94</v>
      </c>
      <c r="L29" s="3">
        <f t="shared" ref="L29:L30" ca="1" si="49">((G29-H29)/G29)*100</f>
        <v>95.002357378595008</v>
      </c>
    </row>
    <row r="30" spans="1:12" x14ac:dyDescent="0.45">
      <c r="A30" s="1">
        <v>45883</v>
      </c>
      <c r="B30">
        <v>2</v>
      </c>
      <c r="C30" t="s">
        <v>13</v>
      </c>
      <c r="D30">
        <f t="shared" si="1"/>
        <v>1200</v>
      </c>
      <c r="E30">
        <f t="shared" ca="1" si="2"/>
        <v>108</v>
      </c>
      <c r="F30">
        <f t="shared" ref="F30:F31" ca="1" si="50">(D30-E30)*(1-(RANDBETWEEN(5,10)/100))</f>
        <v>993.72</v>
      </c>
      <c r="G30">
        <f t="shared" ca="1" si="4"/>
        <v>1987</v>
      </c>
      <c r="H30">
        <f t="shared" ca="1" si="5"/>
        <v>40</v>
      </c>
      <c r="I30" s="2">
        <f t="shared" ref="I30:I31" ca="1" si="51">((J30/100)*(K30/100)*(L30/100))*100</f>
        <v>81.142964267740325</v>
      </c>
      <c r="J30" s="2">
        <f t="shared" ref="J30:J31" ca="1" si="52">((D30-E30)/D30)*100</f>
        <v>91</v>
      </c>
      <c r="K30" s="2">
        <f t="shared" ref="K30:K31" ca="1" si="53">(F30/(D30-E30))*100</f>
        <v>91</v>
      </c>
      <c r="L30" s="3">
        <f t="shared" ca="1" si="49"/>
        <v>97.986914947156521</v>
      </c>
    </row>
    <row r="31" spans="1:12" x14ac:dyDescent="0.45">
      <c r="A31" s="1">
        <v>45883</v>
      </c>
      <c r="B31">
        <v>3</v>
      </c>
      <c r="C31" t="s">
        <v>14</v>
      </c>
      <c r="D31">
        <f t="shared" si="1"/>
        <v>1200</v>
      </c>
      <c r="E31">
        <f t="shared" ca="1" si="2"/>
        <v>132</v>
      </c>
      <c r="F31">
        <f t="shared" ca="1" si="50"/>
        <v>993.2399999999999</v>
      </c>
      <c r="G31">
        <f t="shared" ca="1" si="4"/>
        <v>1986</v>
      </c>
      <c r="H31">
        <f t="shared" ca="1" si="5"/>
        <v>40</v>
      </c>
      <c r="I31" s="2">
        <f t="shared" ca="1" si="51"/>
        <v>81.102930513595169</v>
      </c>
      <c r="J31" s="2">
        <f t="shared" ca="1" si="52"/>
        <v>89</v>
      </c>
      <c r="K31" s="2">
        <f t="shared" ca="1" si="53"/>
        <v>93</v>
      </c>
      <c r="L31" s="3">
        <f ca="1">((G31-H31)/G31)*100</f>
        <v>97.985901309164149</v>
      </c>
    </row>
    <row r="32" spans="1:12" x14ac:dyDescent="0.45">
      <c r="A32" s="1">
        <v>45884</v>
      </c>
      <c r="B32">
        <v>1</v>
      </c>
      <c r="C32" t="s">
        <v>12</v>
      </c>
      <c r="D32">
        <f>20*60</f>
        <v>1200</v>
      </c>
      <c r="E32">
        <f ca="1">D32*(RANDBETWEEN(5,13)/100)</f>
        <v>72</v>
      </c>
      <c r="F32">
        <f ca="1">(D32-E32)*(1-(RANDBETWEEN(5,10)/100))</f>
        <v>1026.48</v>
      </c>
      <c r="G32">
        <f ca="1">ROUND((F32*60)/30,0)</f>
        <v>2053</v>
      </c>
      <c r="H32">
        <f t="shared" ca="1" si="5"/>
        <v>62</v>
      </c>
      <c r="I32" s="2">
        <f ca="1">((J32/100)*(K32/100)*(L32/100))*100</f>
        <v>82.956716999512906</v>
      </c>
      <c r="J32" s="2">
        <f ca="1">((D32-E32)/D32)*100</f>
        <v>94</v>
      </c>
      <c r="K32" s="2">
        <f ca="1">(F32/(D32-E32))*100</f>
        <v>91</v>
      </c>
      <c r="L32" s="3">
        <f t="shared" ref="L32:L33" ca="1" si="54">((G32-H32)/G32)*100</f>
        <v>96.980029225523623</v>
      </c>
    </row>
    <row r="33" spans="1:12" x14ac:dyDescent="0.45">
      <c r="A33" s="1">
        <v>45884</v>
      </c>
      <c r="B33">
        <v>2</v>
      </c>
      <c r="C33" t="s">
        <v>13</v>
      </c>
      <c r="D33">
        <f t="shared" si="1"/>
        <v>1200</v>
      </c>
      <c r="E33">
        <f t="shared" ca="1" si="2"/>
        <v>96</v>
      </c>
      <c r="F33">
        <f t="shared" ref="F33:F34" ca="1" si="55">(D33-E33)*(1-(RANDBETWEEN(5,10)/100))</f>
        <v>1037.76</v>
      </c>
      <c r="G33">
        <f t="shared" ca="1" si="4"/>
        <v>2076</v>
      </c>
      <c r="H33">
        <f t="shared" ca="1" si="5"/>
        <v>21</v>
      </c>
      <c r="I33" s="2">
        <f t="shared" ref="I33:I34" ca="1" si="56">((J33/100)*(K33/100)*(L33/100))*100</f>
        <v>85.605202312138729</v>
      </c>
      <c r="J33" s="2">
        <f t="shared" ref="J33:J34" ca="1" si="57">((D33-E33)/D33)*100</f>
        <v>92</v>
      </c>
      <c r="K33" s="2">
        <f t="shared" ref="K33:K34" ca="1" si="58">(F33/(D33-E33))*100</f>
        <v>94</v>
      </c>
      <c r="L33" s="3">
        <f t="shared" ca="1" si="54"/>
        <v>98.988439306358373</v>
      </c>
    </row>
    <row r="34" spans="1:12" x14ac:dyDescent="0.45">
      <c r="A34" s="1">
        <v>45884</v>
      </c>
      <c r="B34">
        <v>3</v>
      </c>
      <c r="C34" t="s">
        <v>14</v>
      </c>
      <c r="D34">
        <f t="shared" si="1"/>
        <v>1200</v>
      </c>
      <c r="E34">
        <f t="shared" ca="1" si="2"/>
        <v>144</v>
      </c>
      <c r="F34">
        <f t="shared" ca="1" si="55"/>
        <v>971.5200000000001</v>
      </c>
      <c r="G34">
        <f t="shared" ca="1" si="4"/>
        <v>1943</v>
      </c>
      <c r="H34">
        <f t="shared" ca="1" si="5"/>
        <v>78</v>
      </c>
      <c r="I34" s="2">
        <f t="shared" ca="1" si="56"/>
        <v>77.709933093154916</v>
      </c>
      <c r="J34" s="2">
        <f t="shared" ca="1" si="57"/>
        <v>88</v>
      </c>
      <c r="K34" s="2">
        <f t="shared" ca="1" si="58"/>
        <v>92</v>
      </c>
      <c r="L34" s="3">
        <f ca="1">((G34-H34)/G34)*100</f>
        <v>95.985589294904784</v>
      </c>
    </row>
    <row r="35" spans="1:12" x14ac:dyDescent="0.45">
      <c r="A35" s="1">
        <v>45887</v>
      </c>
      <c r="B35">
        <v>1</v>
      </c>
      <c r="C35" t="s">
        <v>12</v>
      </c>
      <c r="D35">
        <f>20*60</f>
        <v>1200</v>
      </c>
      <c r="E35">
        <f ca="1">D35*(RANDBETWEEN(5,13)/100)</f>
        <v>84.000000000000014</v>
      </c>
      <c r="F35">
        <f ca="1">(D35-E35)*(1-(RANDBETWEEN(5,10)/100))</f>
        <v>1049.04</v>
      </c>
      <c r="G35">
        <f ca="1">ROUND((F35*60)/30,0)</f>
        <v>2098</v>
      </c>
      <c r="H35">
        <f t="shared" ca="1" si="5"/>
        <v>63</v>
      </c>
      <c r="I35" s="2">
        <f ca="1">((J35/100)*(K35/100)*(L35/100))*100</f>
        <v>84.794899904671112</v>
      </c>
      <c r="J35" s="2">
        <f ca="1">((D35-E35)/D35)*100</f>
        <v>93</v>
      </c>
      <c r="K35" s="2">
        <f ca="1">(F35/(D35-E35))*100</f>
        <v>94</v>
      </c>
      <c r="L35" s="3">
        <f t="shared" ref="L35:L36" ca="1" si="59">((G35-H35)/G35)*100</f>
        <v>96.997140133460434</v>
      </c>
    </row>
    <row r="36" spans="1:12" x14ac:dyDescent="0.45">
      <c r="A36" s="1">
        <v>45887</v>
      </c>
      <c r="B36">
        <v>2</v>
      </c>
      <c r="C36" t="s">
        <v>13</v>
      </c>
      <c r="D36">
        <f t="shared" si="1"/>
        <v>1200</v>
      </c>
      <c r="E36">
        <f t="shared" ca="1" si="2"/>
        <v>84.000000000000014</v>
      </c>
      <c r="F36">
        <f t="shared" ref="F36:F37" ca="1" si="60">(D36-E36)*(1-(RANDBETWEEN(5,10)/100))</f>
        <v>1015.5600000000001</v>
      </c>
      <c r="G36">
        <f t="shared" ca="1" si="4"/>
        <v>2031</v>
      </c>
      <c r="H36">
        <f t="shared" ca="1" si="5"/>
        <v>102</v>
      </c>
      <c r="I36" s="2">
        <f t="shared" ref="I36:I37" ca="1" si="61">((J36/100)*(K36/100)*(L36/100))*100</f>
        <v>80.379748892171349</v>
      </c>
      <c r="J36" s="2">
        <f t="shared" ref="J36:J37" ca="1" si="62">((D36-E36)/D36)*100</f>
        <v>93</v>
      </c>
      <c r="K36" s="2">
        <f t="shared" ref="K36:K37" ca="1" si="63">(F36/(D36-E36))*100</f>
        <v>91</v>
      </c>
      <c r="L36" s="3">
        <f t="shared" ca="1" si="59"/>
        <v>94.977843426883311</v>
      </c>
    </row>
    <row r="37" spans="1:12" x14ac:dyDescent="0.45">
      <c r="A37" s="1">
        <v>45887</v>
      </c>
      <c r="B37">
        <v>3</v>
      </c>
      <c r="C37" t="s">
        <v>14</v>
      </c>
      <c r="D37">
        <f t="shared" si="1"/>
        <v>1200</v>
      </c>
      <c r="E37">
        <f t="shared" ca="1" si="2"/>
        <v>144</v>
      </c>
      <c r="F37">
        <f t="shared" ca="1" si="60"/>
        <v>1003.1999999999999</v>
      </c>
      <c r="G37">
        <f t="shared" ca="1" si="4"/>
        <v>2006</v>
      </c>
      <c r="H37">
        <f t="shared" ca="1" si="5"/>
        <v>100</v>
      </c>
      <c r="I37" s="2">
        <f t="shared" ca="1" si="61"/>
        <v>79.432502492522417</v>
      </c>
      <c r="J37" s="2">
        <f t="shared" ca="1" si="62"/>
        <v>88</v>
      </c>
      <c r="K37" s="2">
        <f t="shared" ca="1" si="63"/>
        <v>95</v>
      </c>
      <c r="L37" s="3">
        <f ca="1">((G37-H37)/G37)*100</f>
        <v>95.014955134596207</v>
      </c>
    </row>
    <row r="38" spans="1:12" x14ac:dyDescent="0.45">
      <c r="A38" s="1">
        <v>45888</v>
      </c>
      <c r="B38">
        <v>1</v>
      </c>
      <c r="C38" t="s">
        <v>12</v>
      </c>
      <c r="D38">
        <f>20*60</f>
        <v>1200</v>
      </c>
      <c r="E38">
        <f ca="1">D38*(RANDBETWEEN(5,13)/100)</f>
        <v>84.000000000000014</v>
      </c>
      <c r="F38">
        <f ca="1">(D38-E38)*(1-(RANDBETWEEN(5,10)/100))</f>
        <v>1037.8799999999999</v>
      </c>
      <c r="G38">
        <f ca="1">ROUND((F38*60)/30,0)</f>
        <v>2076</v>
      </c>
      <c r="H38">
        <f t="shared" ca="1" si="5"/>
        <v>83</v>
      </c>
      <c r="I38" s="2">
        <f ca="1">((J38/100)*(K38/100)*(L38/100))*100</f>
        <v>83.032066473988436</v>
      </c>
      <c r="J38" s="2">
        <f ca="1">((D38-E38)/D38)*100</f>
        <v>93</v>
      </c>
      <c r="K38" s="2">
        <f ca="1">(F38/(D38-E38))*100</f>
        <v>93</v>
      </c>
      <c r="L38" s="3">
        <f t="shared" ref="L38:L39" ca="1" si="64">((G38-H38)/G38)*100</f>
        <v>96.0019267822736</v>
      </c>
    </row>
    <row r="39" spans="1:12" x14ac:dyDescent="0.45">
      <c r="A39" s="1">
        <v>45888</v>
      </c>
      <c r="B39">
        <v>2</v>
      </c>
      <c r="C39" t="s">
        <v>13</v>
      </c>
      <c r="D39">
        <f t="shared" si="1"/>
        <v>1200</v>
      </c>
      <c r="E39">
        <f t="shared" ca="1" si="2"/>
        <v>108</v>
      </c>
      <c r="F39">
        <f t="shared" ref="F39:F40" ca="1" si="65">(D39-E39)*(1-(RANDBETWEEN(5,10)/100))</f>
        <v>1037.3999999999999</v>
      </c>
      <c r="G39">
        <f t="shared" ca="1" si="4"/>
        <v>2075</v>
      </c>
      <c r="H39">
        <f t="shared" ca="1" si="5"/>
        <v>21</v>
      </c>
      <c r="I39" s="2">
        <f t="shared" ref="I39:I40" ca="1" si="66">((J39/100)*(K39/100)*(L39/100))*100</f>
        <v>85.575084337349395</v>
      </c>
      <c r="J39" s="2">
        <f t="shared" ref="J39:J40" ca="1" si="67">((D39-E39)/D39)*100</f>
        <v>91</v>
      </c>
      <c r="K39" s="2">
        <f t="shared" ref="K39:K40" ca="1" si="68">(F39/(D39-E39))*100</f>
        <v>94.999999999999986</v>
      </c>
      <c r="L39" s="3">
        <f t="shared" ca="1" si="64"/>
        <v>98.98795180722891</v>
      </c>
    </row>
    <row r="40" spans="1:12" x14ac:dyDescent="0.45">
      <c r="A40" s="1">
        <v>45888</v>
      </c>
      <c r="B40">
        <v>3</v>
      </c>
      <c r="C40" t="s">
        <v>14</v>
      </c>
      <c r="D40">
        <f t="shared" si="1"/>
        <v>1200</v>
      </c>
      <c r="E40">
        <f t="shared" ca="1" si="2"/>
        <v>60</v>
      </c>
      <c r="F40">
        <f t="shared" ca="1" si="65"/>
        <v>1083</v>
      </c>
      <c r="G40">
        <f t="shared" ca="1" si="4"/>
        <v>2166</v>
      </c>
      <c r="H40">
        <f t="shared" ca="1" si="5"/>
        <v>22</v>
      </c>
      <c r="I40" s="2">
        <f t="shared" ca="1" si="66"/>
        <v>89.333333333333314</v>
      </c>
      <c r="J40" s="2">
        <f t="shared" ca="1" si="67"/>
        <v>95</v>
      </c>
      <c r="K40" s="2">
        <f t="shared" ca="1" si="68"/>
        <v>95</v>
      </c>
      <c r="L40" s="3">
        <f ca="1">((G40-H40)/G40)*100</f>
        <v>98.984302862419199</v>
      </c>
    </row>
    <row r="41" spans="1:12" x14ac:dyDescent="0.45">
      <c r="A41" s="1">
        <v>45889</v>
      </c>
      <c r="B41">
        <v>1</v>
      </c>
      <c r="C41" t="s">
        <v>12</v>
      </c>
      <c r="D41">
        <f>20*60</f>
        <v>1200</v>
      </c>
      <c r="E41">
        <f ca="1">D41*(RANDBETWEEN(5,13)/100)</f>
        <v>132</v>
      </c>
      <c r="F41">
        <f ca="1">(D41-E41)*(1-(RANDBETWEEN(5,10)/100))</f>
        <v>961.2</v>
      </c>
      <c r="G41">
        <f ca="1">ROUND((F41*60)/30,0)</f>
        <v>1922</v>
      </c>
      <c r="H41">
        <f t="shared" ca="1" si="5"/>
        <v>19</v>
      </c>
      <c r="I41" s="2">
        <f ca="1">((J41/100)*(K41/100)*(L41/100))*100</f>
        <v>79.308168574401662</v>
      </c>
      <c r="J41" s="2">
        <f ca="1">((D41-E41)/D41)*100</f>
        <v>89</v>
      </c>
      <c r="K41" s="2">
        <f ca="1">(F41/(D41-E41))*100</f>
        <v>90</v>
      </c>
      <c r="L41" s="3">
        <f t="shared" ref="L41:L42" ca="1" si="69">((G41-H41)/G41)*100</f>
        <v>99.011446409989588</v>
      </c>
    </row>
    <row r="42" spans="1:12" x14ac:dyDescent="0.45">
      <c r="A42" s="1">
        <v>45889</v>
      </c>
      <c r="B42">
        <v>2</v>
      </c>
      <c r="C42" t="s">
        <v>13</v>
      </c>
      <c r="D42">
        <f t="shared" si="1"/>
        <v>1200</v>
      </c>
      <c r="E42">
        <f t="shared" ca="1" si="2"/>
        <v>144</v>
      </c>
      <c r="F42">
        <f t="shared" ref="F42:F43" ca="1" si="70">(D42-E42)*(1-(RANDBETWEEN(5,10)/100))</f>
        <v>971.5200000000001</v>
      </c>
      <c r="G42">
        <f t="shared" ca="1" si="4"/>
        <v>1943</v>
      </c>
      <c r="H42">
        <f t="shared" ca="1" si="5"/>
        <v>58</v>
      </c>
      <c r="I42" s="2">
        <f t="shared" ref="I42:I43" ca="1" si="71">((J42/100)*(K42/100)*(L42/100))*100</f>
        <v>78.543283582089558</v>
      </c>
      <c r="J42" s="2">
        <f t="shared" ref="J42:J43" ca="1" si="72">((D42-E42)/D42)*100</f>
        <v>88</v>
      </c>
      <c r="K42" s="2">
        <f t="shared" ref="K42:K43" ca="1" si="73">(F42/(D42-E42))*100</f>
        <v>92</v>
      </c>
      <c r="L42" s="3">
        <f t="shared" ca="1" si="69"/>
        <v>97.014925373134332</v>
      </c>
    </row>
    <row r="43" spans="1:12" x14ac:dyDescent="0.45">
      <c r="A43" s="1">
        <v>45889</v>
      </c>
      <c r="B43">
        <v>3</v>
      </c>
      <c r="C43" t="s">
        <v>14</v>
      </c>
      <c r="D43">
        <f t="shared" si="1"/>
        <v>1200</v>
      </c>
      <c r="E43">
        <f t="shared" ca="1" si="2"/>
        <v>108</v>
      </c>
      <c r="F43">
        <f t="shared" ca="1" si="70"/>
        <v>982.80000000000007</v>
      </c>
      <c r="G43">
        <f t="shared" ca="1" si="4"/>
        <v>1966</v>
      </c>
      <c r="H43">
        <f t="shared" ca="1" si="5"/>
        <v>59</v>
      </c>
      <c r="I43" s="2">
        <f t="shared" ca="1" si="71"/>
        <v>79.442166836215677</v>
      </c>
      <c r="J43" s="2">
        <f t="shared" ca="1" si="72"/>
        <v>91</v>
      </c>
      <c r="K43" s="2">
        <f t="shared" ca="1" si="73"/>
        <v>90</v>
      </c>
      <c r="L43" s="3">
        <f ca="1">((G43-H43)/G43)*100</f>
        <v>96.998982706002039</v>
      </c>
    </row>
    <row r="44" spans="1:12" x14ac:dyDescent="0.45">
      <c r="A44" s="1">
        <v>45890</v>
      </c>
      <c r="B44">
        <v>1</v>
      </c>
      <c r="C44" t="s">
        <v>12</v>
      </c>
      <c r="D44">
        <f>20*60</f>
        <v>1200</v>
      </c>
      <c r="E44">
        <f ca="1">D44*(RANDBETWEEN(5,13)/100)</f>
        <v>96</v>
      </c>
      <c r="F44">
        <f ca="1">(D44-E44)*(1-(RANDBETWEEN(5,10)/100))</f>
        <v>1048.8</v>
      </c>
      <c r="G44">
        <f ca="1">ROUND((F44*60)/30,0)</f>
        <v>2098</v>
      </c>
      <c r="H44">
        <f t="shared" ca="1" si="5"/>
        <v>42</v>
      </c>
      <c r="I44" s="2">
        <f ca="1">((J44/100)*(K44/100)*(L44/100))*100</f>
        <v>85.65033365109629</v>
      </c>
      <c r="J44" s="2">
        <f ca="1">((D44-E44)/D44)*100</f>
        <v>92</v>
      </c>
      <c r="K44" s="2">
        <f ca="1">(F44/(D44-E44))*100</f>
        <v>95</v>
      </c>
      <c r="L44" s="3">
        <f t="shared" ref="L44:L45" ca="1" si="74">((G44-H44)/G44)*100</f>
        <v>97.998093422306965</v>
      </c>
    </row>
    <row r="45" spans="1:12" x14ac:dyDescent="0.45">
      <c r="A45" s="1">
        <v>45890</v>
      </c>
      <c r="B45">
        <v>2</v>
      </c>
      <c r="C45" t="s">
        <v>13</v>
      </c>
      <c r="D45">
        <f t="shared" si="1"/>
        <v>1200</v>
      </c>
      <c r="E45">
        <f t="shared" ca="1" si="2"/>
        <v>108</v>
      </c>
      <c r="F45">
        <f t="shared" ref="F45:F46" ca="1" si="75">(D45-E45)*(1-(RANDBETWEEN(5,10)/100))</f>
        <v>1004.6400000000001</v>
      </c>
      <c r="G45">
        <f t="shared" ca="1" si="4"/>
        <v>2009</v>
      </c>
      <c r="H45">
        <f t="shared" ca="1" si="5"/>
        <v>100</v>
      </c>
      <c r="I45" s="2">
        <f t="shared" ref="I45:I46" ca="1" si="76">((J45/100)*(K45/100)*(L45/100))*100</f>
        <v>79.552752613240429</v>
      </c>
      <c r="J45" s="2">
        <f t="shared" ref="J45:J46" ca="1" si="77">((D45-E45)/D45)*100</f>
        <v>91</v>
      </c>
      <c r="K45" s="2">
        <f t="shared" ref="K45:K46" ca="1" si="78">(F45/(D45-E45))*100</f>
        <v>92</v>
      </c>
      <c r="L45" s="3">
        <f t="shared" ca="1" si="74"/>
        <v>95.022399203583873</v>
      </c>
    </row>
    <row r="46" spans="1:12" x14ac:dyDescent="0.45">
      <c r="A46" s="1">
        <v>45890</v>
      </c>
      <c r="B46">
        <v>3</v>
      </c>
      <c r="C46" t="s">
        <v>14</v>
      </c>
      <c r="D46">
        <f t="shared" si="1"/>
        <v>1200</v>
      </c>
      <c r="E46">
        <f t="shared" ca="1" si="2"/>
        <v>72</v>
      </c>
      <c r="F46">
        <f t="shared" ca="1" si="75"/>
        <v>1060.32</v>
      </c>
      <c r="G46">
        <f t="shared" ca="1" si="4"/>
        <v>2121</v>
      </c>
      <c r="H46">
        <f t="shared" ca="1" si="5"/>
        <v>42</v>
      </c>
      <c r="I46" s="2">
        <f t="shared" ca="1" si="76"/>
        <v>86.610297029702977</v>
      </c>
      <c r="J46" s="2">
        <f t="shared" ca="1" si="77"/>
        <v>94</v>
      </c>
      <c r="K46" s="2">
        <f t="shared" ca="1" si="78"/>
        <v>94</v>
      </c>
      <c r="L46" s="3">
        <f ca="1">((G46-H46)/G46)*100</f>
        <v>98.019801980198025</v>
      </c>
    </row>
    <row r="47" spans="1:12" x14ac:dyDescent="0.45">
      <c r="A47" s="1">
        <v>45891</v>
      </c>
      <c r="B47">
        <v>1</v>
      </c>
      <c r="C47" t="s">
        <v>12</v>
      </c>
      <c r="D47">
        <f>20*60</f>
        <v>1200</v>
      </c>
      <c r="E47">
        <f ca="1">D47*(RANDBETWEEN(5,13)/100)</f>
        <v>132</v>
      </c>
      <c r="F47">
        <f ca="1">(D47-E47)*(1-(RANDBETWEEN(5,10)/100))</f>
        <v>1003.92</v>
      </c>
      <c r="G47">
        <f ca="1">ROUND((F47*60)/30,0)</f>
        <v>2008</v>
      </c>
      <c r="H47">
        <f ca="1">ROUND(G47*((RANDBETWEEN(1,5)/100)),0)</f>
        <v>20</v>
      </c>
      <c r="I47" s="2">
        <f ca="1">((J47/100)*(K47/100)*(L47/100))*100</f>
        <v>82.82673306772908</v>
      </c>
      <c r="J47" s="2">
        <f ca="1">((D47-E47)/D47)*100</f>
        <v>89</v>
      </c>
      <c r="K47" s="2">
        <f ca="1">(F47/(D47-E47))*100</f>
        <v>94</v>
      </c>
      <c r="L47" s="3">
        <f t="shared" ref="L47:L48" ca="1" si="79">((G47-H47)/G47)*100</f>
        <v>99.003984063745023</v>
      </c>
    </row>
    <row r="48" spans="1:12" x14ac:dyDescent="0.45">
      <c r="A48" s="1">
        <v>45891</v>
      </c>
      <c r="B48">
        <v>2</v>
      </c>
      <c r="C48" t="s">
        <v>13</v>
      </c>
      <c r="D48">
        <f t="shared" si="1"/>
        <v>1200</v>
      </c>
      <c r="E48">
        <f t="shared" ca="1" si="2"/>
        <v>108</v>
      </c>
      <c r="F48">
        <f t="shared" ref="F48:F49" ca="1" si="80">(D48-E48)*(1-(RANDBETWEEN(5,10)/100))</f>
        <v>1004.6400000000001</v>
      </c>
      <c r="G48">
        <f t="shared" ca="1" si="4"/>
        <v>2009</v>
      </c>
      <c r="H48">
        <f t="shared" ca="1" si="5"/>
        <v>80</v>
      </c>
      <c r="I48" s="2">
        <f t="shared" ref="I48:I49" ca="1" si="81">((J48/100)*(K48/100)*(L48/100))*100</f>
        <v>80.386202090592334</v>
      </c>
      <c r="J48" s="2">
        <f t="shared" ref="J48:J49" ca="1" si="82">((D48-E48)/D48)*100</f>
        <v>91</v>
      </c>
      <c r="K48" s="2">
        <f t="shared" ref="K48:K49" ca="1" si="83">(F48/(D48-E48))*100</f>
        <v>92</v>
      </c>
      <c r="L48" s="3">
        <f t="shared" ca="1" si="79"/>
        <v>96.017919362867104</v>
      </c>
    </row>
    <row r="49" spans="1:12" x14ac:dyDescent="0.45">
      <c r="A49" s="1">
        <v>45891</v>
      </c>
      <c r="B49">
        <v>3</v>
      </c>
      <c r="C49" t="s">
        <v>14</v>
      </c>
      <c r="D49">
        <f t="shared" si="1"/>
        <v>1200</v>
      </c>
      <c r="E49">
        <f t="shared" ca="1" si="2"/>
        <v>156</v>
      </c>
      <c r="F49">
        <f t="shared" ca="1" si="80"/>
        <v>950.04000000000008</v>
      </c>
      <c r="G49">
        <f t="shared" ca="1" si="4"/>
        <v>1900</v>
      </c>
      <c r="H49">
        <f t="shared" ca="1" si="5"/>
        <v>38</v>
      </c>
      <c r="I49" s="2">
        <f t="shared" ca="1" si="81"/>
        <v>77.586600000000004</v>
      </c>
      <c r="J49" s="2">
        <f t="shared" ca="1" si="82"/>
        <v>87</v>
      </c>
      <c r="K49" s="2">
        <f t="shared" ca="1" si="83"/>
        <v>91</v>
      </c>
      <c r="L49" s="3">
        <f ca="1">((G49-H49)/G49)*100</f>
        <v>98</v>
      </c>
    </row>
    <row r="50" spans="1:12" x14ac:dyDescent="0.45">
      <c r="A50" s="1">
        <v>45894</v>
      </c>
      <c r="B50">
        <v>1</v>
      </c>
      <c r="C50" t="s">
        <v>12</v>
      </c>
      <c r="D50">
        <f>20*60</f>
        <v>1200</v>
      </c>
      <c r="E50">
        <f ca="1">D50*(RANDBETWEEN(5,13)/100)</f>
        <v>132</v>
      </c>
      <c r="F50">
        <f ca="1">(D50-E50)*(1-(RANDBETWEEN(5,10)/100))</f>
        <v>1014.5999999999999</v>
      </c>
      <c r="G50">
        <f ca="1">ROUND((F50*60)/30,0)</f>
        <v>2029</v>
      </c>
      <c r="H50">
        <f t="shared" ca="1" si="5"/>
        <v>61</v>
      </c>
      <c r="I50" s="2">
        <f ca="1">((J50/100)*(K50/100)*(L50/100))*100</f>
        <v>82.008082799408569</v>
      </c>
      <c r="J50" s="2">
        <f ca="1">((D50-E50)/D50)*100</f>
        <v>89</v>
      </c>
      <c r="K50" s="2">
        <f ca="1">(F50/(D50-E50))*100</f>
        <v>95</v>
      </c>
      <c r="L50" s="3">
        <f t="shared" ref="L50:L51" ca="1" si="84">((G50-H50)/G50)*100</f>
        <v>96.993592902907835</v>
      </c>
    </row>
    <row r="51" spans="1:12" x14ac:dyDescent="0.45">
      <c r="A51" s="1">
        <v>45894</v>
      </c>
      <c r="B51">
        <v>2</v>
      </c>
      <c r="C51" t="s">
        <v>13</v>
      </c>
      <c r="D51">
        <f t="shared" si="1"/>
        <v>1200</v>
      </c>
      <c r="E51">
        <f t="shared" ca="1" si="2"/>
        <v>60</v>
      </c>
      <c r="F51">
        <f t="shared" ref="F51:F52" ca="1" si="85">(D51-E51)*(1-(RANDBETWEEN(5,10)/100))</f>
        <v>1083</v>
      </c>
      <c r="G51">
        <f t="shared" ca="1" si="4"/>
        <v>2166</v>
      </c>
      <c r="H51">
        <f t="shared" ca="1" si="5"/>
        <v>87</v>
      </c>
      <c r="I51" s="2">
        <f t="shared" ref="I51:I52" ca="1" si="86">((J51/100)*(K51/100)*(L51/100))*100</f>
        <v>86.625</v>
      </c>
      <c r="J51" s="2">
        <f t="shared" ref="J51:J52" ca="1" si="87">((D51-E51)/D51)*100</f>
        <v>95</v>
      </c>
      <c r="K51" s="2">
        <f t="shared" ref="K51:K52" ca="1" si="88">(F51/(D51-E51))*100</f>
        <v>95</v>
      </c>
      <c r="L51" s="3">
        <f t="shared" ca="1" si="84"/>
        <v>95.983379501385045</v>
      </c>
    </row>
    <row r="52" spans="1:12" x14ac:dyDescent="0.45">
      <c r="A52" s="1">
        <v>45894</v>
      </c>
      <c r="B52">
        <v>3</v>
      </c>
      <c r="C52" t="s">
        <v>14</v>
      </c>
      <c r="D52">
        <f t="shared" si="1"/>
        <v>1200</v>
      </c>
      <c r="E52">
        <f t="shared" ca="1" si="2"/>
        <v>84.000000000000014</v>
      </c>
      <c r="F52">
        <f t="shared" ca="1" si="85"/>
        <v>1015.5600000000001</v>
      </c>
      <c r="G52">
        <f t="shared" ca="1" si="4"/>
        <v>2031</v>
      </c>
      <c r="H52">
        <f t="shared" ca="1" si="5"/>
        <v>41</v>
      </c>
      <c r="I52" s="2">
        <f t="shared" ca="1" si="86"/>
        <v>82.921565731166908</v>
      </c>
      <c r="J52" s="2">
        <f t="shared" ca="1" si="87"/>
        <v>93</v>
      </c>
      <c r="K52" s="2">
        <f t="shared" ca="1" si="88"/>
        <v>91</v>
      </c>
      <c r="L52" s="3">
        <f ca="1">((G52-H52)/G52)*100</f>
        <v>97.981290004923679</v>
      </c>
    </row>
    <row r="53" spans="1:12" x14ac:dyDescent="0.45">
      <c r="A53" s="1">
        <v>45895</v>
      </c>
      <c r="B53">
        <v>1</v>
      </c>
      <c r="C53" t="s">
        <v>12</v>
      </c>
      <c r="D53">
        <f>20*60</f>
        <v>1200</v>
      </c>
      <c r="E53">
        <f ca="1">D53*(RANDBETWEEN(5,13)/100)</f>
        <v>60</v>
      </c>
      <c r="F53">
        <f ca="1">(D53-E53)*(1-(RANDBETWEEN(5,10)/100))</f>
        <v>1048.8</v>
      </c>
      <c r="G53">
        <f ca="1">ROUND((F53*60)/30,0)</f>
        <v>2098</v>
      </c>
      <c r="H53">
        <f t="shared" ca="1" si="5"/>
        <v>105</v>
      </c>
      <c r="I53" s="2">
        <f ca="1">((J53/100)*(K53/100)*(L53/100))*100</f>
        <v>83.025834127740708</v>
      </c>
      <c r="J53" s="2">
        <f ca="1">((D53-E53)/D53)*100</f>
        <v>95</v>
      </c>
      <c r="K53" s="2">
        <f ca="1">(F53/(D53-E53))*100</f>
        <v>92</v>
      </c>
      <c r="L53" s="3">
        <f t="shared" ref="L53:L54" ca="1" si="89">((G53-H53)/G53)*100</f>
        <v>94.995233555767399</v>
      </c>
    </row>
    <row r="54" spans="1:12" x14ac:dyDescent="0.45">
      <c r="A54" s="1">
        <v>45895</v>
      </c>
      <c r="B54">
        <v>2</v>
      </c>
      <c r="C54" t="s">
        <v>13</v>
      </c>
      <c r="D54">
        <f t="shared" si="1"/>
        <v>1200</v>
      </c>
      <c r="E54">
        <f t="shared" ca="1" si="2"/>
        <v>96</v>
      </c>
      <c r="F54">
        <f t="shared" ref="F54:F55" ca="1" si="90">(D54-E54)*(1-(RANDBETWEEN(5,10)/100))</f>
        <v>1037.76</v>
      </c>
      <c r="G54">
        <f t="shared" ca="1" si="4"/>
        <v>2076</v>
      </c>
      <c r="H54">
        <f t="shared" ca="1" si="5"/>
        <v>62</v>
      </c>
      <c r="I54" s="2">
        <f t="shared" ref="I54:I55" ca="1" si="91">((J54/100)*(K54/100)*(L54/100))*100</f>
        <v>83.897263969171476</v>
      </c>
      <c r="J54" s="2">
        <f t="shared" ref="J54:J55" ca="1" si="92">((D54-E54)/D54)*100</f>
        <v>92</v>
      </c>
      <c r="K54" s="2">
        <f t="shared" ref="K54:K55" ca="1" si="93">(F54/(D54-E54))*100</f>
        <v>94</v>
      </c>
      <c r="L54" s="3">
        <f t="shared" ca="1" si="89"/>
        <v>97.013487475915213</v>
      </c>
    </row>
    <row r="55" spans="1:12" x14ac:dyDescent="0.45">
      <c r="A55" s="1">
        <v>45895</v>
      </c>
      <c r="B55">
        <v>3</v>
      </c>
      <c r="C55" t="s">
        <v>14</v>
      </c>
      <c r="D55">
        <f t="shared" si="1"/>
        <v>1200</v>
      </c>
      <c r="E55">
        <f t="shared" ca="1" si="2"/>
        <v>132</v>
      </c>
      <c r="F55">
        <f t="shared" ca="1" si="90"/>
        <v>982.56000000000006</v>
      </c>
      <c r="G55">
        <f t="shared" ca="1" si="4"/>
        <v>1965</v>
      </c>
      <c r="H55">
        <f t="shared" ca="1" si="5"/>
        <v>79</v>
      </c>
      <c r="I55" s="2">
        <f t="shared" ca="1" si="91"/>
        <v>78.588132315521634</v>
      </c>
      <c r="J55" s="2">
        <f t="shared" ca="1" si="92"/>
        <v>89</v>
      </c>
      <c r="K55" s="2">
        <f t="shared" ca="1" si="93"/>
        <v>92</v>
      </c>
      <c r="L55" s="3">
        <f ca="1">((G55-H55)/G55)*100</f>
        <v>95.979643765903305</v>
      </c>
    </row>
    <row r="56" spans="1:12" x14ac:dyDescent="0.45">
      <c r="A56" s="1">
        <v>45896</v>
      </c>
      <c r="B56">
        <v>1</v>
      </c>
      <c r="C56" t="s">
        <v>12</v>
      </c>
      <c r="D56">
        <f>20*60</f>
        <v>1200</v>
      </c>
      <c r="E56">
        <f ca="1">D56*(RANDBETWEEN(5,13)/100)</f>
        <v>108</v>
      </c>
      <c r="F56">
        <f ca="1">(D56-E56)*(1-(RANDBETWEEN(5,10)/100))</f>
        <v>1026.48</v>
      </c>
      <c r="G56">
        <f ca="1">ROUND((F56*60)/30,0)</f>
        <v>2053</v>
      </c>
      <c r="H56">
        <f t="shared" ca="1" si="5"/>
        <v>62</v>
      </c>
      <c r="I56" s="2">
        <f ca="1">((J56/100)*(K56/100)*(L56/100))*100</f>
        <v>82.956716999512906</v>
      </c>
      <c r="J56" s="2">
        <f ca="1">((D56-E56)/D56)*100</f>
        <v>91</v>
      </c>
      <c r="K56" s="2">
        <f ca="1">(F56/(D56-E56))*100</f>
        <v>94</v>
      </c>
      <c r="L56" s="3">
        <f t="shared" ref="L56:L57" ca="1" si="94">((G56-H56)/G56)*100</f>
        <v>96.980029225523623</v>
      </c>
    </row>
    <row r="57" spans="1:12" x14ac:dyDescent="0.45">
      <c r="A57" s="1">
        <v>45896</v>
      </c>
      <c r="B57">
        <v>2</v>
      </c>
      <c r="C57" t="s">
        <v>13</v>
      </c>
      <c r="D57">
        <f t="shared" si="1"/>
        <v>1200</v>
      </c>
      <c r="E57">
        <f t="shared" ca="1" si="2"/>
        <v>120</v>
      </c>
      <c r="F57">
        <f t="shared" ref="F57:F58" ca="1" si="95">(D57-E57)*(1-(RANDBETWEEN(5,10)/100))</f>
        <v>1026</v>
      </c>
      <c r="G57">
        <f t="shared" ca="1" si="4"/>
        <v>2052</v>
      </c>
      <c r="H57">
        <f t="shared" ca="1" si="5"/>
        <v>41</v>
      </c>
      <c r="I57" s="2">
        <f t="shared" ref="I57:I58" ca="1" si="96">((J57/100)*(K57/100)*(L57/100))*100</f>
        <v>83.791666666666657</v>
      </c>
      <c r="J57" s="2">
        <f t="shared" ref="J57:J58" ca="1" si="97">((D57-E57)/D57)*100</f>
        <v>90</v>
      </c>
      <c r="K57" s="2">
        <f t="shared" ref="K57:K58" ca="1" si="98">(F57/(D57-E57))*100</f>
        <v>95</v>
      </c>
      <c r="L57" s="3">
        <f t="shared" ca="1" si="94"/>
        <v>98.001949317738791</v>
      </c>
    </row>
    <row r="58" spans="1:12" x14ac:dyDescent="0.45">
      <c r="A58" s="1">
        <v>45896</v>
      </c>
      <c r="B58">
        <v>3</v>
      </c>
      <c r="C58" t="s">
        <v>14</v>
      </c>
      <c r="D58">
        <f t="shared" si="1"/>
        <v>1200</v>
      </c>
      <c r="E58">
        <f t="shared" ca="1" si="2"/>
        <v>84.000000000000014</v>
      </c>
      <c r="F58">
        <f t="shared" ca="1" si="95"/>
        <v>1015.5600000000001</v>
      </c>
      <c r="G58">
        <f t="shared" ca="1" si="4"/>
        <v>2031</v>
      </c>
      <c r="H58">
        <f t="shared" ca="1" si="5"/>
        <v>20</v>
      </c>
      <c r="I58" s="2">
        <f t="shared" ca="1" si="96"/>
        <v>83.796617429837525</v>
      </c>
      <c r="J58" s="2">
        <f t="shared" ca="1" si="97"/>
        <v>93</v>
      </c>
      <c r="K58" s="2">
        <f t="shared" ca="1" si="98"/>
        <v>91</v>
      </c>
      <c r="L58" s="3">
        <f ca="1">((G58-H58)/G58)*100</f>
        <v>99.015263417035953</v>
      </c>
    </row>
    <row r="59" spans="1:12" x14ac:dyDescent="0.45">
      <c r="A59" s="1">
        <v>45897</v>
      </c>
      <c r="B59">
        <v>1</v>
      </c>
      <c r="C59" t="s">
        <v>12</v>
      </c>
      <c r="D59">
        <f>20*60</f>
        <v>1200</v>
      </c>
      <c r="E59">
        <f ca="1">D59*(RANDBETWEEN(5,13)/100)</f>
        <v>84.000000000000014</v>
      </c>
      <c r="F59">
        <f ca="1">(D59-E59)*(1-(RANDBETWEEN(5,10)/100))</f>
        <v>1060.2</v>
      </c>
      <c r="G59">
        <f ca="1">ROUND((F59*60)/30,0)</f>
        <v>2120</v>
      </c>
      <c r="H59">
        <f t="shared" ca="1" si="5"/>
        <v>21</v>
      </c>
      <c r="I59" s="2">
        <f ca="1">((J59/100)*(K59/100)*(L59/100))*100</f>
        <v>87.474834905660387</v>
      </c>
      <c r="J59" s="2">
        <f ca="1">((D59-E59)/D59)*100</f>
        <v>93</v>
      </c>
      <c r="K59" s="2">
        <f ca="1">(F59/(D59-E59))*100</f>
        <v>95</v>
      </c>
      <c r="L59" s="3">
        <f t="shared" ref="L59:L60" ca="1" si="99">((G59-H59)/G59)*100</f>
        <v>99.009433962264154</v>
      </c>
    </row>
    <row r="60" spans="1:12" x14ac:dyDescent="0.45">
      <c r="A60" s="1">
        <v>45897</v>
      </c>
      <c r="B60">
        <v>2</v>
      </c>
      <c r="C60" t="s">
        <v>13</v>
      </c>
      <c r="D60">
        <f t="shared" si="1"/>
        <v>1200</v>
      </c>
      <c r="E60">
        <f t="shared" ca="1" si="2"/>
        <v>96</v>
      </c>
      <c r="F60">
        <f t="shared" ref="F60:F61" ca="1" si="100">(D60-E60)*(1-(RANDBETWEEN(5,10)/100))</f>
        <v>1015.6800000000001</v>
      </c>
      <c r="G60">
        <f t="shared" ca="1" si="4"/>
        <v>2031</v>
      </c>
      <c r="H60">
        <f t="shared" ca="1" si="5"/>
        <v>20</v>
      </c>
      <c r="I60" s="2">
        <f t="shared" ref="I60:I61" ca="1" si="101">((J60/100)*(K60/100)*(L60/100))*100</f>
        <v>83.806518956179232</v>
      </c>
      <c r="J60" s="2">
        <f t="shared" ref="J60:J61" ca="1" si="102">((D60-E60)/D60)*100</f>
        <v>92</v>
      </c>
      <c r="K60" s="2">
        <f t="shared" ref="K60:K61" ca="1" si="103">(F60/(D60-E60))*100</f>
        <v>92</v>
      </c>
      <c r="L60" s="3">
        <f t="shared" ca="1" si="99"/>
        <v>99.015263417035953</v>
      </c>
    </row>
    <row r="61" spans="1:12" x14ac:dyDescent="0.45">
      <c r="A61" s="1">
        <v>45897</v>
      </c>
      <c r="B61">
        <v>3</v>
      </c>
      <c r="C61" t="s">
        <v>14</v>
      </c>
      <c r="D61">
        <f t="shared" si="1"/>
        <v>1200</v>
      </c>
      <c r="E61">
        <f t="shared" ca="1" si="2"/>
        <v>96</v>
      </c>
      <c r="F61">
        <f t="shared" ca="1" si="100"/>
        <v>1026.72</v>
      </c>
      <c r="G61">
        <f t="shared" ca="1" si="4"/>
        <v>2053</v>
      </c>
      <c r="H61">
        <f t="shared" ca="1" si="5"/>
        <v>82</v>
      </c>
      <c r="I61" s="2">
        <f t="shared" ca="1" si="101"/>
        <v>82.142601071602542</v>
      </c>
      <c r="J61" s="2">
        <f t="shared" ca="1" si="102"/>
        <v>92</v>
      </c>
      <c r="K61" s="2">
        <f t="shared" ca="1" si="103"/>
        <v>93</v>
      </c>
      <c r="L61" s="3">
        <f ca="1">((G61-H61)/G61)*100</f>
        <v>96.005845104724798</v>
      </c>
    </row>
    <row r="62" spans="1:12" x14ac:dyDescent="0.45">
      <c r="A62" s="1">
        <v>45898</v>
      </c>
      <c r="B62">
        <v>1</v>
      </c>
      <c r="C62" t="s">
        <v>12</v>
      </c>
      <c r="D62">
        <f>20*60</f>
        <v>1200</v>
      </c>
      <c r="E62">
        <f ca="1">D62*(RANDBETWEEN(5,13)/100)</f>
        <v>96</v>
      </c>
      <c r="F62">
        <f ca="1">(D62-E62)*(1-(RANDBETWEEN(5,10)/100))</f>
        <v>1037.76</v>
      </c>
      <c r="G62">
        <f ca="1">ROUND((F62*60)/30,0)</f>
        <v>2076</v>
      </c>
      <c r="H62">
        <f t="shared" ca="1" si="5"/>
        <v>21</v>
      </c>
      <c r="I62" s="2">
        <f ca="1">((J62/100)*(K62/100)*(L62/100))*100</f>
        <v>85.605202312138729</v>
      </c>
      <c r="J62" s="2">
        <f ca="1">((D62-E62)/D62)*100</f>
        <v>92</v>
      </c>
      <c r="K62" s="2">
        <f ca="1">(F62/(D62-E62))*100</f>
        <v>94</v>
      </c>
      <c r="L62" s="3">
        <f t="shared" ref="L62:L63" ca="1" si="104">((G62-H62)/G62)*100</f>
        <v>98.988439306358373</v>
      </c>
    </row>
    <row r="63" spans="1:12" x14ac:dyDescent="0.45">
      <c r="A63" s="1">
        <v>45898</v>
      </c>
      <c r="B63">
        <v>2</v>
      </c>
      <c r="C63" t="s">
        <v>13</v>
      </c>
      <c r="D63">
        <f t="shared" si="1"/>
        <v>1200</v>
      </c>
      <c r="E63">
        <f t="shared" ca="1" si="2"/>
        <v>156</v>
      </c>
      <c r="F63">
        <f t="shared" ref="F63:F64" ca="1" si="105">(D63-E63)*(1-(RANDBETWEEN(5,10)/100))</f>
        <v>970.92</v>
      </c>
      <c r="G63">
        <f t="shared" ca="1" si="4"/>
        <v>1942</v>
      </c>
      <c r="H63">
        <f t="shared" ca="1" si="5"/>
        <v>78</v>
      </c>
      <c r="I63" s="2">
        <f t="shared" ref="I63:I64" ca="1" si="106">((J63/100)*(K63/100)*(L63/100))*100</f>
        <v>77.660267765190525</v>
      </c>
      <c r="J63" s="2">
        <f t="shared" ref="J63:J64" ca="1" si="107">((D63-E63)/D63)*100</f>
        <v>87</v>
      </c>
      <c r="K63" s="2">
        <f t="shared" ref="K63:K64" ca="1" si="108">(F63/(D63-E63))*100</f>
        <v>93</v>
      </c>
      <c r="L63" s="3">
        <f t="shared" ca="1" si="104"/>
        <v>95.983522142121529</v>
      </c>
    </row>
    <row r="64" spans="1:12" x14ac:dyDescent="0.45">
      <c r="A64" s="1">
        <v>45898</v>
      </c>
      <c r="B64">
        <v>3</v>
      </c>
      <c r="C64" t="s">
        <v>14</v>
      </c>
      <c r="D64">
        <f t="shared" si="1"/>
        <v>1200</v>
      </c>
      <c r="E64">
        <f t="shared" ca="1" si="2"/>
        <v>96</v>
      </c>
      <c r="F64">
        <f t="shared" ca="1" si="105"/>
        <v>1004.64</v>
      </c>
      <c r="G64">
        <f t="shared" ca="1" si="4"/>
        <v>2009</v>
      </c>
      <c r="H64">
        <f t="shared" ca="1" si="5"/>
        <v>100</v>
      </c>
      <c r="I64" s="2">
        <f t="shared" ca="1" si="106"/>
        <v>79.552752613240429</v>
      </c>
      <c r="J64" s="2">
        <f t="shared" ca="1" si="107"/>
        <v>92</v>
      </c>
      <c r="K64" s="2">
        <f t="shared" ca="1" si="108"/>
        <v>91</v>
      </c>
      <c r="L64" s="3">
        <f ca="1">((G64-H64)/G64)*100</f>
        <v>95.022399203583873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Ali Husen</dc:creator>
  <cp:lastModifiedBy>Yaser Ali Husen</cp:lastModifiedBy>
  <dcterms:created xsi:type="dcterms:W3CDTF">2025-08-19T00:31:09Z</dcterms:created>
  <dcterms:modified xsi:type="dcterms:W3CDTF">2025-08-19T01:31:16Z</dcterms:modified>
</cp:coreProperties>
</file>